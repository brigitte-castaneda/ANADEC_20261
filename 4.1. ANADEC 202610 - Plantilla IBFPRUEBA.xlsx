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4. Modulo 4 - Indicadores de Bondad Financiera/"/>
    </mc:Choice>
  </mc:AlternateContent>
  <xr:revisionPtr revIDLastSave="1" documentId="8_{3E47CBA6-E16D-43F9-819C-D17C791F3C7C}" xr6:coauthVersionLast="47" xr6:coauthVersionMax="47" xr10:uidLastSave="{01E73149-3EFF-45CB-B355-89D4EB37561F}"/>
  <bookViews>
    <workbookView xWindow="-120" yWindow="-120" windowWidth="20730" windowHeight="11040" tabRatio="725" firstSheet="1" activeTab="8" xr2:uid="{00000000-000D-0000-FFFF-FFFF00000000}"/>
  </bookViews>
  <sheets>
    <sheet name="TIR (2)" sheetId="10" state="hidden" r:id="rId1"/>
    <sheet name="VPN-E1" sheetId="1" r:id="rId2"/>
    <sheet name="VPN-E2" sheetId="2" r:id="rId3"/>
    <sheet name="TIR" sheetId="3" r:id="rId4"/>
    <sheet name="TVR-E1" sheetId="4" r:id="rId5"/>
    <sheet name="TVR-E2" sheetId="5" r:id="rId6"/>
    <sheet name="VAE" sheetId="8" r:id="rId7"/>
    <sheet name="BC" sheetId="6" r:id="rId8"/>
    <sheet name="PayBack-E1" sheetId="7" r:id="rId9"/>
    <sheet name="PayBack-E2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6" l="1"/>
  <c r="H12" i="6"/>
  <c r="C13" i="6"/>
  <c r="H7" i="6"/>
  <c r="H8" i="6"/>
  <c r="H9" i="6"/>
  <c r="H10" i="6"/>
  <c r="H6" i="6"/>
  <c r="C12" i="8"/>
  <c r="C11" i="8"/>
  <c r="C11" i="1"/>
  <c r="C11" i="5"/>
  <c r="C14" i="5" s="1"/>
  <c r="C14" i="4"/>
  <c r="C4" i="4"/>
  <c r="C9" i="4"/>
  <c r="C10" i="4" s="1"/>
  <c r="I7" i="10"/>
  <c r="I8" i="10"/>
  <c r="I9" i="10"/>
  <c r="I10" i="10"/>
  <c r="I11" i="10"/>
  <c r="I12" i="10"/>
  <c r="I13" i="10"/>
  <c r="I14" i="10"/>
  <c r="I15" i="10"/>
  <c r="I6" i="10"/>
  <c r="F12" i="10"/>
  <c r="H7" i="10"/>
  <c r="H8" i="10" s="1"/>
  <c r="F6" i="10"/>
  <c r="F12" i="3"/>
  <c r="I7" i="3"/>
  <c r="I8" i="3"/>
  <c r="I9" i="3"/>
  <c r="I10" i="3"/>
  <c r="I11" i="3"/>
  <c r="I12" i="3"/>
  <c r="I13" i="3"/>
  <c r="I14" i="3"/>
  <c r="I15" i="3"/>
  <c r="I6" i="3"/>
  <c r="F6" i="3"/>
  <c r="C15" i="2"/>
  <c r="C14" i="2"/>
  <c r="C13" i="2"/>
  <c r="C8" i="1"/>
  <c r="C9" i="1"/>
  <c r="C10" i="5"/>
  <c r="H7" i="3"/>
  <c r="H8" i="3" s="1"/>
  <c r="H9" i="3" s="1"/>
  <c r="H10" i="3" s="1"/>
  <c r="H11" i="3" s="1"/>
  <c r="H12" i="3" s="1"/>
  <c r="H13" i="3" s="1"/>
  <c r="H14" i="3" s="1"/>
  <c r="H15" i="3" s="1"/>
  <c r="C4" i="5" l="1"/>
  <c r="H9" i="10"/>
  <c r="C8" i="7"/>
  <c r="C9" i="7" s="1"/>
  <c r="C7" i="7"/>
  <c r="C9" i="6"/>
  <c r="C8" i="6"/>
  <c r="C8" i="8"/>
  <c r="C9" i="8" s="1"/>
  <c r="C9" i="2"/>
  <c r="C10" i="2" s="1"/>
  <c r="C11" i="4" l="1"/>
  <c r="H10" i="10"/>
  <c r="H11" i="10" l="1"/>
  <c r="H12" i="10" l="1"/>
  <c r="H13" i="10" l="1"/>
  <c r="H14" i="10" l="1"/>
  <c r="H1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Fernanda Valero Sanchez</author>
  </authors>
  <commentList>
    <comment ref="I5" authorId="0" shapeId="0" xr:uid="{234EF2E1-8CD6-4CB7-8A2B-CB2B65DEA51A}">
      <text>
        <r>
          <rPr>
            <sz val="9"/>
            <color rgb="FF000000"/>
            <rFont val="Tahoma"/>
            <family val="2"/>
          </rPr>
          <t>Graficar el VPN ante diferentes CO y determinar el punto de corte con el eje x.</t>
        </r>
      </text>
    </comment>
    <comment ref="F7" authorId="0" shapeId="0" xr:uid="{A71C942B-8140-4DF2-9DAE-35B9866C5B3E}">
      <text>
        <r>
          <rPr>
            <sz val="9"/>
            <color rgb="FF000000"/>
            <rFont val="Tahoma"/>
            <family val="2"/>
          </rPr>
          <t>Determinar el Costo de Oportunidad que hace que el VPN = 0 mediante la iteración de valores (Buscar Objetivo).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Fernanda Valero Sanchez</author>
  </authors>
  <commentList>
    <comment ref="I5" authorId="0" shapeId="0" xr:uid="{41A49B3E-8691-49DB-8577-B5F8D9AFD671}">
      <text>
        <r>
          <rPr>
            <sz val="9"/>
            <color rgb="FF000000"/>
            <rFont val="Tahoma"/>
            <family val="2"/>
          </rPr>
          <t>Graficar el VPN ante diferentes CO y determinar el punto de corte con el eje x.</t>
        </r>
      </text>
    </comment>
    <comment ref="F7" authorId="0" shapeId="0" xr:uid="{6AFF8241-72BF-40BB-A2C3-190B575B3CD3}">
      <text>
        <r>
          <rPr>
            <sz val="9"/>
            <color rgb="FF000000"/>
            <rFont val="Tahoma"/>
            <family val="2"/>
          </rPr>
          <t>Determinar el Costo de Oportunidad que hace que el VPN = 0 mediante la iteración de valores (Buscar Objetivo).</t>
        </r>
      </text>
    </comment>
  </commentList>
</comments>
</file>

<file path=xl/sharedStrings.xml><?xml version="1.0" encoding="utf-8"?>
<sst xmlns="http://schemas.openxmlformats.org/spreadsheetml/2006/main" count="76" uniqueCount="24">
  <si>
    <t>CO</t>
  </si>
  <si>
    <t>MV</t>
  </si>
  <si>
    <t>Año</t>
  </si>
  <si>
    <t>Flujo</t>
  </si>
  <si>
    <t>EA</t>
  </si>
  <si>
    <t>Proyecto 1</t>
  </si>
  <si>
    <t>TIR</t>
  </si>
  <si>
    <t>Total</t>
  </si>
  <si>
    <t>VPN</t>
  </si>
  <si>
    <t>VAE</t>
  </si>
  <si>
    <t>Enfoque 1</t>
  </si>
  <si>
    <t>Enfoque 2</t>
  </si>
  <si>
    <t>Flujos positivos</t>
  </si>
  <si>
    <t>Flujos negativos</t>
  </si>
  <si>
    <t>Flujos Netos</t>
  </si>
  <si>
    <t>B/C</t>
  </si>
  <si>
    <t>Opción 1</t>
  </si>
  <si>
    <t>Opción 2</t>
  </si>
  <si>
    <t>Opción 3</t>
  </si>
  <si>
    <t>Rentabilidad del Proyecto (TIR)</t>
  </si>
  <si>
    <t>Rentabilidad del Inversionista (TVR)</t>
  </si>
  <si>
    <t>VPN1</t>
  </si>
  <si>
    <t>VPN2</t>
  </si>
  <si>
    <t>VPN3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</si>
</sst>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3" formatCode="_-* #,##0.00_-;\-* #,##0.00_-;_-* &quot;-&quot;??_-;_-@_-"/>
    <numFmt numFmtId="164" formatCode="&quot;$&quot;\ #,##0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rgb="FF003300"/>
      <name val="Verdana"/>
      <family val="2"/>
    </font>
    <font>
      <sz val="10"/>
      <color theme="1"/>
      <name val="Verdana"/>
      <family val="2"/>
    </font>
    <font>
      <sz val="12"/>
      <color rgb="FF26283B"/>
      <name val="Corbel"/>
      <family val="2"/>
    </font>
    <font>
      <sz val="12"/>
      <name val="Corbel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32D0F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2D0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BF8F00"/>
      </right>
      <top/>
      <bottom style="medium">
        <color rgb="FFBF8F00"/>
      </bottom>
      <diagonal/>
    </border>
    <border>
      <left/>
      <right style="medium">
        <color rgb="FFBF8F00"/>
      </right>
      <top style="thin">
        <color rgb="FF000000"/>
      </top>
      <bottom style="medium">
        <color rgb="FFBF8F00"/>
      </bottom>
      <diagonal/>
    </border>
    <border>
      <left style="thin">
        <color rgb="FF000000"/>
      </left>
      <right style="medium">
        <color rgb="FFBF8F00"/>
      </right>
      <top/>
      <bottom style="medium">
        <color rgb="FFBF8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BF8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8F00"/>
      </left>
      <right/>
      <top style="medium">
        <color rgb="FFBF8F00"/>
      </top>
      <bottom style="medium">
        <color rgb="FFBF8F00"/>
      </bottom>
      <diagonal/>
    </border>
    <border>
      <left/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thin">
        <color rgb="FF000000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0" fontId="4" fillId="0" borderId="4" xfId="2" applyNumberFormat="1" applyFont="1" applyBorder="1" applyAlignment="1">
      <alignment horizontal="center" vertical="center" wrapText="1"/>
    </xf>
    <xf numFmtId="10" fontId="0" fillId="0" borderId="0" xfId="0" applyNumberFormat="1"/>
    <xf numFmtId="0" fontId="2" fillId="2" borderId="7" xfId="0" applyFont="1" applyFill="1" applyBorder="1" applyAlignment="1">
      <alignment horizontal="center" vertical="center" wrapText="1"/>
    </xf>
    <xf numFmtId="10" fontId="4" fillId="0" borderId="8" xfId="2" applyNumberFormat="1" applyFont="1" applyBorder="1" applyAlignment="1">
      <alignment horizontal="center" vertical="center" wrapText="1"/>
    </xf>
    <xf numFmtId="10" fontId="4" fillId="0" borderId="9" xfId="2" applyNumberFormat="1" applyFont="1" applyBorder="1" applyAlignment="1">
      <alignment horizontal="center" vertical="center" wrapText="1"/>
    </xf>
    <xf numFmtId="10" fontId="4" fillId="0" borderId="6" xfId="2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2" fontId="4" fillId="0" borderId="10" xfId="1" applyNumberFormat="1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0" fontId="4" fillId="0" borderId="13" xfId="2" applyNumberFormat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9" fontId="5" fillId="4" borderId="13" xfId="2" applyFont="1" applyFill="1" applyBorder="1" applyAlignment="1">
      <alignment horizontal="center" vertical="center" wrapText="1" readingOrder="1"/>
    </xf>
    <xf numFmtId="6" fontId="6" fillId="4" borderId="13" xfId="0" applyNumberFormat="1" applyFont="1" applyFill="1" applyBorder="1" applyAlignment="1">
      <alignment horizontal="center" vertical="center" wrapText="1" readingOrder="1"/>
    </xf>
    <xf numFmtId="10" fontId="0" fillId="0" borderId="13" xfId="2" applyNumberFormat="1" applyFont="1" applyBorder="1" applyAlignment="1">
      <alignment horizontal="center"/>
    </xf>
    <xf numFmtId="9" fontId="4" fillId="0" borderId="13" xfId="2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0" fillId="6" borderId="0" xfId="0" applyNumberFormat="1" applyFill="1"/>
    <xf numFmtId="0" fontId="8" fillId="0" borderId="0" xfId="0" applyFont="1"/>
    <xf numFmtId="165" fontId="4" fillId="0" borderId="13" xfId="2" applyNumberFormat="1" applyFont="1" applyBorder="1" applyAlignment="1">
      <alignment horizontal="center" vertical="center" wrapText="1"/>
    </xf>
    <xf numFmtId="164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'TIR (2)'!$H$6:$H$15</c:f>
              <c:numCache>
                <c:formatCode>0%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</c:numCache>
            </c:numRef>
          </c:xVal>
          <c:yVal>
            <c:numRef>
              <c:f>'TIR (2)'!$I$6:$I$15</c:f>
              <c:numCache>
                <c:formatCode>"$"#,##0_);[Red]\("$"#,##0\)</c:formatCode>
                <c:ptCount val="10"/>
                <c:pt idx="0">
                  <c:v>-1200</c:v>
                </c:pt>
                <c:pt idx="1">
                  <c:v>-298.30725133974022</c:v>
                </c:pt>
                <c:pt idx="2">
                  <c:v>127.78070321961422</c:v>
                </c:pt>
                <c:pt idx="3">
                  <c:v>303.84247236324836</c:v>
                </c:pt>
                <c:pt idx="4">
                  <c:v>348.26245498346452</c:v>
                </c:pt>
                <c:pt idx="5">
                  <c:v>324.40813486080015</c:v>
                </c:pt>
                <c:pt idx="6">
                  <c:v>266.66230748796443</c:v>
                </c:pt>
                <c:pt idx="7">
                  <c:v>193.79815271905886</c:v>
                </c:pt>
                <c:pt idx="8">
                  <c:v>116.03143143247348</c:v>
                </c:pt>
                <c:pt idx="9">
                  <c:v>38.823801759736853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7-4DB4-BCBA-D4CE3220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726592"/>
        <c:axId val="1919728256"/>
      </c:scatterChart>
      <c:valAx>
        <c:axId val="191972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9728256"/>
        <c:crosses val="autoZero"/>
        <c:crossBetween val="midCat"/>
      </c:valAx>
      <c:valAx>
        <c:axId val="19197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VPN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972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TIR!$H$6:$H$15</c:f>
              <c:numCache>
                <c:formatCode>0%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</c:numCache>
            </c:numRef>
          </c:xVal>
          <c:yVal>
            <c:numRef>
              <c:f>TIR!$I$6:$I$15</c:f>
              <c:numCache>
                <c:formatCode>"$"#,##0_);[Red]\("$"#,##0\)</c:formatCode>
                <c:ptCount val="10"/>
                <c:pt idx="0">
                  <c:v>80000</c:v>
                </c:pt>
                <c:pt idx="1">
                  <c:v>53972.984507483983</c:v>
                </c:pt>
                <c:pt idx="2">
                  <c:v>32943.104979168056</c:v>
                </c:pt>
                <c:pt idx="3">
                  <c:v>15777.244935516996</c:v>
                </c:pt>
                <c:pt idx="4">
                  <c:v>1635.802469135815</c:v>
                </c:pt>
                <c:pt idx="5">
                  <c:v>-10112</c:v>
                </c:pt>
                <c:pt idx="6">
                  <c:v>-19946.080319316556</c:v>
                </c:pt>
                <c:pt idx="7">
                  <c:v>-28235.83426946737</c:v>
                </c:pt>
                <c:pt idx="8">
                  <c:v>-35268.638067471875</c:v>
                </c:pt>
                <c:pt idx="9">
                  <c:v>-41270.273059788116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4-4DB1-8BBF-63EBCEE49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726592"/>
        <c:axId val="1919728256"/>
      </c:scatterChart>
      <c:valAx>
        <c:axId val="191972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9728256"/>
        <c:crosses val="autoZero"/>
        <c:crossBetween val="midCat"/>
      </c:valAx>
      <c:valAx>
        <c:axId val="19197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VPN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972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209194</xdr:colOff>
      <xdr:row>1</xdr:row>
      <xdr:rowOff>146881</xdr:rowOff>
    </xdr:from>
    <xdr:to>
      <xdr:col>15</xdr:col>
      <xdr:colOff>527641</xdr:colOff>
      <xdr:row>15</xdr:row>
      <xdr:rowOff>74486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1F3A3B-7659-4C74-AB88-A0F451DAF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209194</xdr:colOff>
      <xdr:row>1</xdr:row>
      <xdr:rowOff>146881</xdr:rowOff>
    </xdr:from>
    <xdr:to>
      <xdr:col>15</xdr:col>
      <xdr:colOff>527641</xdr:colOff>
      <xdr:row>15</xdr:row>
      <xdr:rowOff>74486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094176-353A-4871-9723-5254EA04C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2116-97CD-4FD5-928D-D4E2F7E6F598}">
  <dimension ref="B2:I17"/>
  <sheetViews>
    <sheetView showGridLines="0" zoomScale="110" zoomScaleNormal="110" workbookViewId="0">
      <selection activeCell="C6" sqref="C6"/>
    </sheetView>
  </sheetViews>
  <sheetFormatPr baseColWidth="10" defaultColWidth="11.42578125" defaultRowHeight="15" x14ac:dyDescent="0.25"/>
  <cols>
    <col min="3" max="3" width="14.28515625" bestFit="1" customWidth="1"/>
    <col min="4" max="4" width="7" customWidth="1"/>
    <col min="6" max="6" width="12.140625" customWidth="1"/>
  </cols>
  <sheetData>
    <row r="2" spans="2:9" ht="15.75" thickBot="1" x14ac:dyDescent="0.3"/>
    <row r="3" spans="2:9" ht="15.75" thickBot="1" x14ac:dyDescent="0.3">
      <c r="B3" s="26" t="s">
        <v>5</v>
      </c>
      <c r="C3" s="26"/>
      <c r="E3" s="25" t="s">
        <v>16</v>
      </c>
      <c r="H3" s="15" t="s">
        <v>17</v>
      </c>
    </row>
    <row r="4" spans="2:9" ht="15.75" thickBot="1" x14ac:dyDescent="0.3">
      <c r="B4" s="24" t="s">
        <v>2</v>
      </c>
      <c r="C4" s="24" t="s">
        <v>3</v>
      </c>
    </row>
    <row r="5" spans="2:9" ht="15.75" thickBot="1" x14ac:dyDescent="0.3">
      <c r="B5" s="16">
        <v>0</v>
      </c>
      <c r="C5" s="17">
        <v>-1200</v>
      </c>
      <c r="E5" s="24" t="s">
        <v>0</v>
      </c>
      <c r="F5" s="14">
        <v>0.20643925132965979</v>
      </c>
      <c r="H5" s="24" t="s">
        <v>0</v>
      </c>
      <c r="I5" s="24" t="s">
        <v>8</v>
      </c>
    </row>
    <row r="6" spans="2:9" ht="16.5" thickBot="1" x14ac:dyDescent="0.3">
      <c r="B6" s="16">
        <v>1</v>
      </c>
      <c r="C6" s="17">
        <v>700</v>
      </c>
      <c r="E6" s="25" t="s">
        <v>8</v>
      </c>
      <c r="F6" s="18">
        <f>NPV(F5,C6:C9)+C5</f>
        <v>590.22390931500104</v>
      </c>
      <c r="H6" s="19">
        <v>0</v>
      </c>
      <c r="I6" s="20">
        <f>NPV(H6,$C$6:$C$17)+$C$5</f>
        <v>-1200</v>
      </c>
    </row>
    <row r="7" spans="2:9" ht="16.5" thickBot="1" x14ac:dyDescent="0.3">
      <c r="B7" s="16">
        <v>2</v>
      </c>
      <c r="C7" s="17">
        <v>700</v>
      </c>
      <c r="E7" s="24" t="s">
        <v>6</v>
      </c>
      <c r="F7" s="21">
        <v>0.2064</v>
      </c>
      <c r="H7" s="19">
        <f>H6+5%</f>
        <v>0.05</v>
      </c>
      <c r="I7" s="20">
        <f>NPV(H7,$C$6:$C$17)+$C$5</f>
        <v>-298.30725133974022</v>
      </c>
    </row>
    <row r="8" spans="2:9" ht="16.5" thickBot="1" x14ac:dyDescent="0.3">
      <c r="B8" s="16">
        <v>3</v>
      </c>
      <c r="C8" s="17">
        <v>700</v>
      </c>
      <c r="H8" s="19">
        <f>H7+5%</f>
        <v>0.1</v>
      </c>
      <c r="I8" s="20">
        <f t="shared" ref="I7:I15" si="0">NPV(H8,$C$6:$C$17)+$C$5</f>
        <v>127.78070321961422</v>
      </c>
    </row>
    <row r="9" spans="2:9" ht="16.5" thickBot="1" x14ac:dyDescent="0.3">
      <c r="B9" s="16">
        <v>4</v>
      </c>
      <c r="C9" s="17">
        <v>700</v>
      </c>
      <c r="H9" s="19">
        <f t="shared" ref="H9:H15" si="1">H8+5%</f>
        <v>0.15000000000000002</v>
      </c>
      <c r="I9" s="20">
        <f t="shared" si="0"/>
        <v>303.84247236324836</v>
      </c>
    </row>
    <row r="10" spans="2:9" ht="16.5" thickBot="1" x14ac:dyDescent="0.3">
      <c r="B10" s="16">
        <v>5</v>
      </c>
      <c r="C10" s="17">
        <v>700</v>
      </c>
      <c r="E10" s="25" t="s">
        <v>18</v>
      </c>
      <c r="H10" s="19">
        <f t="shared" si="1"/>
        <v>0.2</v>
      </c>
      <c r="I10" s="20">
        <f t="shared" si="0"/>
        <v>348.26245498346452</v>
      </c>
    </row>
    <row r="11" spans="2:9" ht="16.5" thickBot="1" x14ac:dyDescent="0.3">
      <c r="B11" s="16">
        <v>6</v>
      </c>
      <c r="C11" s="17">
        <v>700</v>
      </c>
      <c r="H11" s="19">
        <f t="shared" si="1"/>
        <v>0.25</v>
      </c>
      <c r="I11" s="20">
        <f t="shared" si="0"/>
        <v>324.40813486080015</v>
      </c>
    </row>
    <row r="12" spans="2:9" ht="16.5" thickBot="1" x14ac:dyDescent="0.3">
      <c r="B12" s="16">
        <v>7</v>
      </c>
      <c r="C12" s="17">
        <v>-700</v>
      </c>
      <c r="E12" s="24" t="s">
        <v>6</v>
      </c>
      <c r="F12" s="21">
        <f>IRR(C5:C9)</f>
        <v>0.45215368185317151</v>
      </c>
      <c r="H12" s="19">
        <f t="shared" si="1"/>
        <v>0.3</v>
      </c>
      <c r="I12" s="20">
        <f t="shared" si="0"/>
        <v>266.66230748796443</v>
      </c>
    </row>
    <row r="13" spans="2:9" ht="16.5" thickBot="1" x14ac:dyDescent="0.3">
      <c r="B13" s="16">
        <v>8</v>
      </c>
      <c r="C13" s="17">
        <v>-700</v>
      </c>
      <c r="H13" s="19">
        <f t="shared" si="1"/>
        <v>0.35</v>
      </c>
      <c r="I13" s="20">
        <f t="shared" si="0"/>
        <v>193.79815271905886</v>
      </c>
    </row>
    <row r="14" spans="2:9" ht="16.5" thickBot="1" x14ac:dyDescent="0.3">
      <c r="B14" s="16">
        <v>9</v>
      </c>
      <c r="C14" s="17">
        <v>-700</v>
      </c>
      <c r="H14" s="19">
        <f t="shared" si="1"/>
        <v>0.39999999999999997</v>
      </c>
      <c r="I14" s="20">
        <f t="shared" si="0"/>
        <v>116.03143143247348</v>
      </c>
    </row>
    <row r="15" spans="2:9" ht="16.5" thickBot="1" x14ac:dyDescent="0.3">
      <c r="B15" s="16">
        <v>10</v>
      </c>
      <c r="C15" s="17">
        <v>-700</v>
      </c>
      <c r="H15" s="19">
        <f t="shared" si="1"/>
        <v>0.44999999999999996</v>
      </c>
      <c r="I15" s="20">
        <f t="shared" si="0"/>
        <v>38.823801759736853</v>
      </c>
    </row>
    <row r="16" spans="2:9" ht="15.75" thickBot="1" x14ac:dyDescent="0.3">
      <c r="B16" s="16">
        <v>11</v>
      </c>
      <c r="C16" s="17">
        <v>-700</v>
      </c>
    </row>
    <row r="17" spans="2:3" ht="15.75" thickBot="1" x14ac:dyDescent="0.3">
      <c r="B17" s="16">
        <v>12</v>
      </c>
      <c r="C17" s="17">
        <v>-700</v>
      </c>
    </row>
  </sheetData>
  <mergeCells count="1">
    <mergeCell ref="B3:C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showGridLines="0" topLeftCell="A2" zoomScale="180" zoomScaleNormal="180" workbookViewId="0">
      <selection activeCell="C12" sqref="C12"/>
    </sheetView>
  </sheetViews>
  <sheetFormatPr baseColWidth="10" defaultColWidth="8.7109375" defaultRowHeight="15" x14ac:dyDescent="0.25"/>
  <cols>
    <col min="3" max="3" width="17.42578125" bestFit="1" customWidth="1"/>
  </cols>
  <sheetData>
    <row r="1" spans="2:4" ht="15.75" thickBot="1" x14ac:dyDescent="0.3"/>
    <row r="2" spans="2:4" ht="15.75" thickBot="1" x14ac:dyDescent="0.3">
      <c r="B2" s="13" t="s">
        <v>0</v>
      </c>
      <c r="C2" s="14">
        <v>4.1000000000000003E-3</v>
      </c>
      <c r="D2" t="s">
        <v>1</v>
      </c>
    </row>
    <row r="3" spans="2:4" ht="15.75" thickBot="1" x14ac:dyDescent="0.3">
      <c r="B3" s="13"/>
      <c r="C3" s="14">
        <v>5.0319999999999997E-2</v>
      </c>
      <c r="D3" t="s">
        <v>4</v>
      </c>
    </row>
    <row r="5" spans="2:4" ht="15.75" thickBot="1" x14ac:dyDescent="0.3">
      <c r="B5" s="1" t="s">
        <v>2</v>
      </c>
      <c r="C5" s="1" t="s">
        <v>3</v>
      </c>
    </row>
    <row r="6" spans="2:4" ht="15.75" thickBot="1" x14ac:dyDescent="0.3">
      <c r="B6" s="2">
        <v>0</v>
      </c>
      <c r="C6" s="3">
        <v>-80000000</v>
      </c>
    </row>
    <row r="7" spans="2:4" ht="15.75" thickBot="1" x14ac:dyDescent="0.3">
      <c r="B7" s="2">
        <v>1</v>
      </c>
      <c r="C7" s="3">
        <v>15000000</v>
      </c>
    </row>
    <row r="8" spans="2:4" ht="15.75" thickBot="1" x14ac:dyDescent="0.3">
      <c r="B8" s="2">
        <v>2</v>
      </c>
      <c r="C8" s="3">
        <f>+C7</f>
        <v>15000000</v>
      </c>
    </row>
    <row r="9" spans="2:4" ht="15.75" thickBot="1" x14ac:dyDescent="0.3">
      <c r="B9" s="2">
        <v>3</v>
      </c>
      <c r="C9" s="3">
        <f>+C8+60000000</f>
        <v>75000000</v>
      </c>
    </row>
    <row r="11" spans="2:4" x14ac:dyDescent="0.25">
      <c r="B11" s="32" t="s">
        <v>8</v>
      </c>
      <c r="C11" s="31">
        <f>NPV(C3,C7:C9)+C6</f>
        <v>12607136.394296795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D541-CAF2-43AD-A553-D9639E1575E3}">
  <dimension ref="B2:D15"/>
  <sheetViews>
    <sheetView showGridLines="0" zoomScale="130" zoomScaleNormal="130" workbookViewId="0">
      <selection activeCell="D14" sqref="D14"/>
    </sheetView>
  </sheetViews>
  <sheetFormatPr baseColWidth="10" defaultColWidth="8.7109375" defaultRowHeight="15" x14ac:dyDescent="0.25"/>
  <cols>
    <col min="3" max="3" width="17.42578125" bestFit="1" customWidth="1"/>
  </cols>
  <sheetData>
    <row r="2" spans="2:4" x14ac:dyDescent="0.25">
      <c r="B2" s="7" t="s">
        <v>0</v>
      </c>
      <c r="C2" s="8">
        <v>0.08</v>
      </c>
      <c r="D2" t="s">
        <v>4</v>
      </c>
    </row>
    <row r="3" spans="2:4" x14ac:dyDescent="0.25">
      <c r="B3" s="7" t="s">
        <v>0</v>
      </c>
      <c r="C3" s="10">
        <v>0.1</v>
      </c>
      <c r="D3" t="s">
        <v>4</v>
      </c>
    </row>
    <row r="4" spans="2:4" x14ac:dyDescent="0.25">
      <c r="B4" s="7" t="s">
        <v>0</v>
      </c>
      <c r="C4" s="9">
        <v>0.12</v>
      </c>
      <c r="D4" t="s">
        <v>4</v>
      </c>
    </row>
    <row r="6" spans="2:4" ht="15.75" thickBot="1" x14ac:dyDescent="0.3">
      <c r="B6" s="1" t="s">
        <v>2</v>
      </c>
      <c r="C6" s="1" t="s">
        <v>3</v>
      </c>
    </row>
    <row r="7" spans="2:4" ht="15.75" thickBot="1" x14ac:dyDescent="0.3">
      <c r="B7" s="2">
        <v>0</v>
      </c>
      <c r="C7" s="3">
        <v>-80000000</v>
      </c>
    </row>
    <row r="8" spans="2:4" ht="15.75" thickBot="1" x14ac:dyDescent="0.3">
      <c r="B8" s="2">
        <v>1</v>
      </c>
      <c r="C8" s="3">
        <v>15000000</v>
      </c>
    </row>
    <row r="9" spans="2:4" ht="15.75" thickBot="1" x14ac:dyDescent="0.3">
      <c r="B9" s="2">
        <v>2</v>
      </c>
      <c r="C9" s="3">
        <f>+C8</f>
        <v>15000000</v>
      </c>
    </row>
    <row r="10" spans="2:4" ht="15.75" thickBot="1" x14ac:dyDescent="0.3">
      <c r="B10" s="2">
        <v>3</v>
      </c>
      <c r="C10" s="3">
        <f>+C9+60000000</f>
        <v>75000000</v>
      </c>
    </row>
    <row r="13" spans="2:4" ht="15.75" thickBot="1" x14ac:dyDescent="0.3">
      <c r="B13" s="7" t="s">
        <v>21</v>
      </c>
      <c r="C13" s="3">
        <f>NPV(C2,C8:C10)+$C$7</f>
        <v>6286389.269928351</v>
      </c>
    </row>
    <row r="14" spans="2:4" ht="15.75" thickBot="1" x14ac:dyDescent="0.3">
      <c r="B14" s="7" t="s">
        <v>22</v>
      </c>
      <c r="C14" s="3">
        <f>NPV(C3,$C$8:$C$10)+$C$7</f>
        <v>2381667.9188579768</v>
      </c>
    </row>
    <row r="15" spans="2:4" ht="15.75" thickBot="1" x14ac:dyDescent="0.3">
      <c r="B15" s="7" t="s">
        <v>23</v>
      </c>
      <c r="C15" s="3">
        <f>NPV(C4,$C$8:$C$10)+$C$7</f>
        <v>-1265716.1078717411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5FD0-852C-464B-9E14-42D0B8AC41DC}">
  <dimension ref="B2:I15"/>
  <sheetViews>
    <sheetView showGridLines="0" zoomScale="110" zoomScaleNormal="110" workbookViewId="0">
      <selection activeCell="C13" sqref="C13"/>
    </sheetView>
  </sheetViews>
  <sheetFormatPr baseColWidth="10" defaultColWidth="11.42578125" defaultRowHeight="15" x14ac:dyDescent="0.25"/>
  <cols>
    <col min="3" max="3" width="14.28515625" bestFit="1" customWidth="1"/>
    <col min="4" max="4" width="7" customWidth="1"/>
    <col min="6" max="6" width="12.140625" customWidth="1"/>
  </cols>
  <sheetData>
    <row r="2" spans="2:9" ht="15.75" thickBot="1" x14ac:dyDescent="0.3"/>
    <row r="3" spans="2:9" ht="15.75" thickBot="1" x14ac:dyDescent="0.3">
      <c r="B3" s="26" t="s">
        <v>5</v>
      </c>
      <c r="C3" s="26"/>
      <c r="E3" s="4" t="s">
        <v>16</v>
      </c>
      <c r="H3" s="15" t="s">
        <v>17</v>
      </c>
    </row>
    <row r="4" spans="2:9" ht="15.75" thickBot="1" x14ac:dyDescent="0.3">
      <c r="B4" s="13" t="s">
        <v>2</v>
      </c>
      <c r="C4" s="13" t="s">
        <v>3</v>
      </c>
    </row>
    <row r="5" spans="2:9" ht="15.75" thickBot="1" x14ac:dyDescent="0.3">
      <c r="B5" s="16">
        <v>0</v>
      </c>
      <c r="C5" s="17">
        <v>-80000</v>
      </c>
      <c r="E5" s="13" t="s">
        <v>0</v>
      </c>
      <c r="F5" s="14">
        <v>0.20643925132965979</v>
      </c>
      <c r="H5" s="13" t="s">
        <v>0</v>
      </c>
      <c r="I5" s="13" t="s">
        <v>8</v>
      </c>
    </row>
    <row r="6" spans="2:9" ht="16.5" thickBot="1" x14ac:dyDescent="0.3">
      <c r="B6" s="16">
        <v>1</v>
      </c>
      <c r="C6" s="17">
        <v>-40000</v>
      </c>
      <c r="E6" s="4" t="s">
        <v>8</v>
      </c>
      <c r="F6" s="18">
        <f>NPV(F5,C6:C9)+C5</f>
        <v>1.0401476174592972E-5</v>
      </c>
      <c r="H6" s="19">
        <v>0</v>
      </c>
      <c r="I6" s="20">
        <f>NPV(H6,$C$6:$C$9)+$C$5</f>
        <v>80000</v>
      </c>
    </row>
    <row r="7" spans="2:9" ht="16.5" thickBot="1" x14ac:dyDescent="0.3">
      <c r="B7" s="16">
        <v>2</v>
      </c>
      <c r="C7" s="17">
        <v>60000</v>
      </c>
      <c r="E7" s="13" t="s">
        <v>6</v>
      </c>
      <c r="F7" s="21">
        <v>0.2064</v>
      </c>
      <c r="H7" s="19">
        <f>H6+5%</f>
        <v>0.05</v>
      </c>
      <c r="I7" s="20">
        <f t="shared" ref="I7:I15" si="0">NPV(H7,$C$6:$C$9)+$C$5</f>
        <v>53972.984507483983</v>
      </c>
    </row>
    <row r="8" spans="2:9" ht="16.5" thickBot="1" x14ac:dyDescent="0.3">
      <c r="B8" s="16">
        <v>3</v>
      </c>
      <c r="C8" s="17">
        <v>60000</v>
      </c>
      <c r="H8" s="19">
        <f>H7+5%</f>
        <v>0.1</v>
      </c>
      <c r="I8" s="20">
        <f t="shared" si="0"/>
        <v>32943.104979168056</v>
      </c>
    </row>
    <row r="9" spans="2:9" ht="16.5" thickBot="1" x14ac:dyDescent="0.3">
      <c r="B9" s="16">
        <v>4</v>
      </c>
      <c r="C9" s="17">
        <v>80000</v>
      </c>
      <c r="H9" s="19">
        <f t="shared" ref="H9:H15" si="1">H8+5%</f>
        <v>0.15000000000000002</v>
      </c>
      <c r="I9" s="20">
        <f t="shared" si="0"/>
        <v>15777.244935516996</v>
      </c>
    </row>
    <row r="10" spans="2:9" ht="16.5" thickBot="1" x14ac:dyDescent="0.3">
      <c r="E10" s="4" t="s">
        <v>18</v>
      </c>
      <c r="H10" s="19">
        <f t="shared" si="1"/>
        <v>0.2</v>
      </c>
      <c r="I10" s="20">
        <f t="shared" si="0"/>
        <v>1635.802469135815</v>
      </c>
    </row>
    <row r="11" spans="2:9" ht="16.5" thickBot="1" x14ac:dyDescent="0.3">
      <c r="H11" s="19">
        <f t="shared" si="1"/>
        <v>0.25</v>
      </c>
      <c r="I11" s="20">
        <f t="shared" si="0"/>
        <v>-10112</v>
      </c>
    </row>
    <row r="12" spans="2:9" ht="16.5" thickBot="1" x14ac:dyDescent="0.3">
      <c r="E12" s="13" t="s">
        <v>6</v>
      </c>
      <c r="F12" s="21">
        <f>IRR(C5:C9)</f>
        <v>0.20643925137070362</v>
      </c>
      <c r="H12" s="19">
        <f t="shared" si="1"/>
        <v>0.3</v>
      </c>
      <c r="I12" s="20">
        <f t="shared" si="0"/>
        <v>-19946.080319316556</v>
      </c>
    </row>
    <row r="13" spans="2:9" ht="16.5" thickBot="1" x14ac:dyDescent="0.3">
      <c r="H13" s="19">
        <f t="shared" si="1"/>
        <v>0.35</v>
      </c>
      <c r="I13" s="20">
        <f t="shared" si="0"/>
        <v>-28235.83426946737</v>
      </c>
    </row>
    <row r="14" spans="2:9" ht="16.5" thickBot="1" x14ac:dyDescent="0.3">
      <c r="H14" s="19">
        <f t="shared" si="1"/>
        <v>0.39999999999999997</v>
      </c>
      <c r="I14" s="20">
        <f t="shared" si="0"/>
        <v>-35268.638067471875</v>
      </c>
    </row>
    <row r="15" spans="2:9" ht="16.5" thickBot="1" x14ac:dyDescent="0.3">
      <c r="H15" s="19">
        <f t="shared" si="1"/>
        <v>0.44999999999999996</v>
      </c>
      <c r="I15" s="20">
        <f t="shared" si="0"/>
        <v>-41270.273059788116</v>
      </c>
    </row>
  </sheetData>
  <mergeCells count="1">
    <mergeCell ref="B3:C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BFD1-7EE2-4F08-A4C6-CD17FCBC088D}">
  <dimension ref="B1:E14"/>
  <sheetViews>
    <sheetView showGridLines="0" zoomScale="115" zoomScaleNormal="115" workbookViewId="0">
      <selection activeCell="C15" sqref="C15"/>
    </sheetView>
  </sheetViews>
  <sheetFormatPr baseColWidth="10" defaultColWidth="11.42578125" defaultRowHeight="15" x14ac:dyDescent="0.25"/>
  <cols>
    <col min="2" max="2" width="26.85546875" customWidth="1"/>
    <col min="3" max="3" width="14.42578125" bestFit="1" customWidth="1"/>
  </cols>
  <sheetData>
    <row r="1" spans="2:5" ht="15.75" thickBot="1" x14ac:dyDescent="0.3"/>
    <row r="2" spans="2:5" ht="15.75" thickBot="1" x14ac:dyDescent="0.3">
      <c r="B2" s="13" t="s">
        <v>0</v>
      </c>
      <c r="C2" s="14">
        <v>0.14000000000000001</v>
      </c>
    </row>
    <row r="3" spans="2:5" ht="15.75" thickBot="1" x14ac:dyDescent="0.3"/>
    <row r="4" spans="2:5" ht="29.25" thickBot="1" x14ac:dyDescent="0.3">
      <c r="B4" s="13" t="s">
        <v>19</v>
      </c>
      <c r="C4" s="33">
        <f>IRR(C7:C11)</f>
        <v>0.19999999999999996</v>
      </c>
    </row>
    <row r="6" spans="2:5" ht="15.75" thickBot="1" x14ac:dyDescent="0.3">
      <c r="B6" s="1" t="s">
        <v>2</v>
      </c>
      <c r="C6" s="1" t="s">
        <v>3</v>
      </c>
    </row>
    <row r="7" spans="2:5" x14ac:dyDescent="0.25">
      <c r="B7" s="2">
        <v>0</v>
      </c>
      <c r="C7" s="3">
        <v>-250000</v>
      </c>
    </row>
    <row r="8" spans="2:5" x14ac:dyDescent="0.25">
      <c r="B8" s="2">
        <v>1</v>
      </c>
      <c r="C8" s="3">
        <v>50000</v>
      </c>
    </row>
    <row r="9" spans="2:5" x14ac:dyDescent="0.25">
      <c r="B9" s="2">
        <v>2</v>
      </c>
      <c r="C9" s="3">
        <f>+C8</f>
        <v>50000</v>
      </c>
    </row>
    <row r="10" spans="2:5" x14ac:dyDescent="0.25">
      <c r="B10" s="2">
        <v>3</v>
      </c>
      <c r="C10" s="3">
        <f>+C9</f>
        <v>50000</v>
      </c>
    </row>
    <row r="11" spans="2:5" x14ac:dyDescent="0.25">
      <c r="B11" s="2">
        <v>4</v>
      </c>
      <c r="C11" s="3">
        <f>+C10-C7</f>
        <v>300000</v>
      </c>
    </row>
    <row r="12" spans="2:5" ht="14.45" customHeight="1" x14ac:dyDescent="0.25">
      <c r="B12" s="27" t="s">
        <v>7</v>
      </c>
      <c r="C12" s="28"/>
    </row>
    <row r="13" spans="2:5" ht="15.75" thickBot="1" x14ac:dyDescent="0.3"/>
    <row r="14" spans="2:5" ht="29.25" thickBot="1" x14ac:dyDescent="0.3">
      <c r="B14" s="23" t="s">
        <v>20</v>
      </c>
      <c r="C14" s="14">
        <f>MIRR(C7:C11,C2,C2)</f>
        <v>0.18685574739880262</v>
      </c>
      <c r="E14" s="6"/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9D10-AAD7-402D-B90F-329427F85FD7}">
  <dimension ref="B1:E14"/>
  <sheetViews>
    <sheetView showGridLines="0" zoomScale="115" zoomScaleNormal="115" workbookViewId="0">
      <selection activeCell="D18" sqref="D18"/>
    </sheetView>
  </sheetViews>
  <sheetFormatPr baseColWidth="10" defaultColWidth="11.42578125" defaultRowHeight="15" x14ac:dyDescent="0.25"/>
  <cols>
    <col min="2" max="2" width="26.85546875" customWidth="1"/>
    <col min="3" max="3" width="14.42578125" bestFit="1" customWidth="1"/>
  </cols>
  <sheetData>
    <row r="1" spans="2:5" ht="15.75" thickBot="1" x14ac:dyDescent="0.3"/>
    <row r="2" spans="2:5" ht="15.75" thickBot="1" x14ac:dyDescent="0.3">
      <c r="B2" s="13" t="s">
        <v>0</v>
      </c>
      <c r="C2" s="14">
        <v>0.05</v>
      </c>
    </row>
    <row r="3" spans="2:5" ht="15.75" thickBot="1" x14ac:dyDescent="0.3"/>
    <row r="4" spans="2:5" ht="29.25" thickBot="1" x14ac:dyDescent="0.3">
      <c r="B4" s="13" t="s">
        <v>19</v>
      </c>
      <c r="C4" s="22">
        <f>IRR(C7:C11)</f>
        <v>0.11204651711360558</v>
      </c>
    </row>
    <row r="6" spans="2:5" ht="15.75" thickBot="1" x14ac:dyDescent="0.3">
      <c r="B6" s="1" t="s">
        <v>2</v>
      </c>
      <c r="C6" s="1" t="s">
        <v>3</v>
      </c>
    </row>
    <row r="7" spans="2:5" ht="15.75" thickBot="1" x14ac:dyDescent="0.3">
      <c r="B7" s="2">
        <v>0</v>
      </c>
      <c r="C7" s="3">
        <v>-250000</v>
      </c>
    </row>
    <row r="8" spans="2:5" ht="15.75" thickBot="1" x14ac:dyDescent="0.3">
      <c r="B8" s="2">
        <v>1</v>
      </c>
      <c r="C8" s="3">
        <v>150000</v>
      </c>
    </row>
    <row r="9" spans="2:5" ht="15.75" thickBot="1" x14ac:dyDescent="0.3">
      <c r="B9" s="2">
        <v>2</v>
      </c>
      <c r="C9" s="3">
        <v>-130000</v>
      </c>
    </row>
    <row r="10" spans="2:5" ht="15.75" thickBot="1" x14ac:dyDescent="0.3">
      <c r="B10" s="2">
        <v>3</v>
      </c>
      <c r="C10" s="3">
        <f>+C8</f>
        <v>150000</v>
      </c>
    </row>
    <row r="11" spans="2:5" ht="15.75" thickBot="1" x14ac:dyDescent="0.3">
      <c r="B11" s="2">
        <v>4</v>
      </c>
      <c r="C11" s="3">
        <f>170000</f>
        <v>170000</v>
      </c>
    </row>
    <row r="12" spans="2:5" ht="14.45" customHeight="1" thickBot="1" x14ac:dyDescent="0.3">
      <c r="B12" s="27" t="s">
        <v>7</v>
      </c>
      <c r="C12" s="28"/>
    </row>
    <row r="13" spans="2:5" ht="15.75" thickBot="1" x14ac:dyDescent="0.3"/>
    <row r="14" spans="2:5" ht="29.25" thickBot="1" x14ac:dyDescent="0.3">
      <c r="B14" s="23" t="s">
        <v>20</v>
      </c>
      <c r="C14" s="14">
        <f>MIRR(C7:C11,C2,C2)</f>
        <v>8.0324065461462091E-2</v>
      </c>
      <c r="E14" s="6"/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C7E0-2F7B-4AF1-8B21-446D2EB3FBF3}">
  <dimension ref="B1:D12"/>
  <sheetViews>
    <sheetView showGridLines="0" zoomScale="115" zoomScaleNormal="115" workbookViewId="0">
      <selection activeCell="E18" sqref="E18"/>
    </sheetView>
  </sheetViews>
  <sheetFormatPr baseColWidth="10" defaultColWidth="11.42578125" defaultRowHeight="15" x14ac:dyDescent="0.25"/>
  <cols>
    <col min="3" max="3" width="20.28515625" customWidth="1"/>
  </cols>
  <sheetData>
    <row r="1" spans="2:4" ht="15.75" thickBot="1" x14ac:dyDescent="0.3"/>
    <row r="2" spans="2:4" ht="15.75" thickBot="1" x14ac:dyDescent="0.3">
      <c r="B2" s="13" t="s">
        <v>0</v>
      </c>
      <c r="C2" s="14">
        <v>4.1000000000000003E-3</v>
      </c>
      <c r="D2" t="s">
        <v>1</v>
      </c>
    </row>
    <row r="3" spans="2:4" ht="15.75" thickBot="1" x14ac:dyDescent="0.3">
      <c r="B3" s="13"/>
      <c r="C3" s="14">
        <v>5.0299999999999997E-2</v>
      </c>
    </row>
    <row r="5" spans="2:4" ht="15.75" thickBot="1" x14ac:dyDescent="0.3">
      <c r="B5" s="1" t="s">
        <v>2</v>
      </c>
      <c r="C5" s="1" t="s">
        <v>3</v>
      </c>
    </row>
    <row r="6" spans="2:4" ht="15.75" thickBot="1" x14ac:dyDescent="0.3">
      <c r="B6" s="2">
        <v>0</v>
      </c>
      <c r="C6" s="3">
        <v>-80000000</v>
      </c>
    </row>
    <row r="7" spans="2:4" ht="15.75" thickBot="1" x14ac:dyDescent="0.3">
      <c r="B7" s="2">
        <v>1</v>
      </c>
      <c r="C7" s="3">
        <v>15000000</v>
      </c>
    </row>
    <row r="8" spans="2:4" ht="15.75" thickBot="1" x14ac:dyDescent="0.3">
      <c r="B8" s="2">
        <v>2</v>
      </c>
      <c r="C8" s="3">
        <f>+C7</f>
        <v>15000000</v>
      </c>
    </row>
    <row r="9" spans="2:4" ht="15.75" thickBot="1" x14ac:dyDescent="0.3">
      <c r="B9" s="2">
        <v>3</v>
      </c>
      <c r="C9" s="3">
        <f>+C8+60000000</f>
        <v>75000000</v>
      </c>
    </row>
    <row r="10" spans="2:4" ht="15.75" thickBot="1" x14ac:dyDescent="0.3"/>
    <row r="11" spans="2:4" ht="15.75" thickBot="1" x14ac:dyDescent="0.3">
      <c r="B11" s="4" t="s">
        <v>8</v>
      </c>
      <c r="C11" s="17">
        <f>NPV(C3,C7:C9)+C6</f>
        <v>12611623.978586614</v>
      </c>
    </row>
    <row r="12" spans="2:4" ht="15.75" thickBot="1" x14ac:dyDescent="0.3">
      <c r="B12" s="4" t="s">
        <v>9</v>
      </c>
      <c r="C12" s="17">
        <f>-PMT(C3,3,C11)</f>
        <v>4633699.8921196926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E498-EEA6-448E-B318-D93BBDED574A}">
  <dimension ref="B2:H13"/>
  <sheetViews>
    <sheetView showGridLines="0" zoomScale="115" zoomScaleNormal="115" workbookViewId="0">
      <selection activeCell="F18" sqref="F18"/>
    </sheetView>
  </sheetViews>
  <sheetFormatPr baseColWidth="10" defaultColWidth="11.42578125" defaultRowHeight="15" x14ac:dyDescent="0.25"/>
  <cols>
    <col min="3" max="4" width="14.42578125" bestFit="1" customWidth="1"/>
  </cols>
  <sheetData>
    <row r="2" spans="2:8" ht="15.75" thickBot="1" x14ac:dyDescent="0.3">
      <c r="B2" s="4" t="s">
        <v>0</v>
      </c>
      <c r="C2" s="5">
        <v>0.1</v>
      </c>
      <c r="G2" s="4" t="s">
        <v>0</v>
      </c>
      <c r="H2" s="5">
        <v>0.1</v>
      </c>
    </row>
    <row r="4" spans="2:8" ht="15.75" thickBot="1" x14ac:dyDescent="0.3">
      <c r="B4" s="29" t="s">
        <v>10</v>
      </c>
      <c r="C4" s="29"/>
      <c r="D4" s="30"/>
      <c r="G4" s="29" t="s">
        <v>11</v>
      </c>
      <c r="H4" s="29"/>
    </row>
    <row r="5" spans="2:8" ht="29.25" thickBot="1" x14ac:dyDescent="0.3">
      <c r="B5" s="1" t="s">
        <v>2</v>
      </c>
      <c r="C5" s="1" t="s">
        <v>12</v>
      </c>
      <c r="D5" s="1" t="s">
        <v>13</v>
      </c>
      <c r="G5" s="1" t="s">
        <v>2</v>
      </c>
      <c r="H5" s="1" t="s">
        <v>14</v>
      </c>
    </row>
    <row r="6" spans="2:8" ht="15.75" thickBot="1" x14ac:dyDescent="0.3">
      <c r="B6" s="2">
        <v>0</v>
      </c>
      <c r="C6" s="3"/>
      <c r="D6" s="3">
        <v>-15000</v>
      </c>
      <c r="G6" s="2">
        <v>0</v>
      </c>
      <c r="H6" s="3">
        <f>C6+D6</f>
        <v>-15000</v>
      </c>
    </row>
    <row r="7" spans="2:8" ht="15.75" thickBot="1" x14ac:dyDescent="0.3">
      <c r="B7" s="2">
        <v>1</v>
      </c>
      <c r="C7" s="3">
        <v>5000</v>
      </c>
      <c r="D7" s="3">
        <v>0</v>
      </c>
      <c r="G7" s="2">
        <v>1</v>
      </c>
      <c r="H7" s="3">
        <f t="shared" ref="H7:H10" si="0">C7+D7</f>
        <v>5000</v>
      </c>
    </row>
    <row r="8" spans="2:8" ht="15.75" thickBot="1" x14ac:dyDescent="0.3">
      <c r="B8" s="2">
        <v>2</v>
      </c>
      <c r="C8" s="3">
        <f>+C7</f>
        <v>5000</v>
      </c>
      <c r="D8" s="3">
        <v>-8000</v>
      </c>
      <c r="G8" s="2">
        <v>2</v>
      </c>
      <c r="H8" s="3">
        <f t="shared" si="0"/>
        <v>-3000</v>
      </c>
    </row>
    <row r="9" spans="2:8" ht="15.75" thickBot="1" x14ac:dyDescent="0.3">
      <c r="B9" s="2">
        <v>3</v>
      </c>
      <c r="C9" s="3">
        <f>+C8</f>
        <v>5000</v>
      </c>
      <c r="D9" s="3">
        <v>0</v>
      </c>
      <c r="G9" s="2">
        <v>3</v>
      </c>
      <c r="H9" s="3">
        <f t="shared" si="0"/>
        <v>5000</v>
      </c>
    </row>
    <row r="10" spans="2:8" ht="15.75" thickBot="1" x14ac:dyDescent="0.3">
      <c r="B10" s="2">
        <v>4</v>
      </c>
      <c r="C10" s="3">
        <v>10000</v>
      </c>
      <c r="D10" s="3">
        <v>0</v>
      </c>
      <c r="G10" s="2">
        <v>4</v>
      </c>
      <c r="H10" s="3">
        <f t="shared" si="0"/>
        <v>10000</v>
      </c>
    </row>
    <row r="12" spans="2:8" x14ac:dyDescent="0.25">
      <c r="B12" s="11" t="s">
        <v>15</v>
      </c>
      <c r="C12" s="12">
        <f>NPV(C2,C7:C10)/-C13</f>
        <v>0.89139263309261563</v>
      </c>
      <c r="G12" s="11" t="s">
        <v>15</v>
      </c>
      <c r="H12" s="12">
        <f>NPV(H2,H7,0,H9,H10)/-(NPV(H2,0,H8,0,0)+H6)</f>
        <v>0.86571713264169736</v>
      </c>
    </row>
    <row r="13" spans="2:8" x14ac:dyDescent="0.25">
      <c r="C13" s="34">
        <f xml:space="preserve"> NPV(C2,D7:D10)+D6</f>
        <v>-21611.570247933883</v>
      </c>
    </row>
  </sheetData>
  <mergeCells count="2">
    <mergeCell ref="B4:D4"/>
    <mergeCell ref="G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0A35-69B4-4115-B5D6-FA1F68FB3C84}">
  <dimension ref="B2:C9"/>
  <sheetViews>
    <sheetView showGridLines="0" tabSelected="1" zoomScale="115" zoomScaleNormal="115" workbookViewId="0">
      <selection activeCell="D14" sqref="D14"/>
    </sheetView>
  </sheetViews>
  <sheetFormatPr baseColWidth="10" defaultColWidth="11.42578125" defaultRowHeight="15" x14ac:dyDescent="0.25"/>
  <sheetData>
    <row r="2" spans="2:3" ht="15.75" thickBot="1" x14ac:dyDescent="0.3">
      <c r="B2" s="4" t="s">
        <v>0</v>
      </c>
      <c r="C2" s="5">
        <v>0.1</v>
      </c>
    </row>
    <row r="4" spans="2:3" ht="15.75" thickBot="1" x14ac:dyDescent="0.3">
      <c r="B4" s="1" t="s">
        <v>2</v>
      </c>
      <c r="C4" s="1" t="s">
        <v>3</v>
      </c>
    </row>
    <row r="5" spans="2:3" ht="15.75" thickBot="1" x14ac:dyDescent="0.3">
      <c r="B5" s="2">
        <v>0</v>
      </c>
      <c r="C5" s="3">
        <v>-1000</v>
      </c>
    </row>
    <row r="6" spans="2:3" ht="15.75" thickBot="1" x14ac:dyDescent="0.3">
      <c r="B6" s="2">
        <v>1</v>
      </c>
      <c r="C6" s="3">
        <v>500</v>
      </c>
    </row>
    <row r="7" spans="2:3" ht="15.75" thickBot="1" x14ac:dyDescent="0.3">
      <c r="B7" s="2">
        <v>2</v>
      </c>
      <c r="C7" s="3">
        <f>+C6</f>
        <v>500</v>
      </c>
    </row>
    <row r="8" spans="2:3" ht="15.75" thickBot="1" x14ac:dyDescent="0.3">
      <c r="B8" s="2">
        <v>3</v>
      </c>
      <c r="C8" s="3">
        <f t="shared" ref="C8:C9" si="0">+C7</f>
        <v>500</v>
      </c>
    </row>
    <row r="9" spans="2:3" ht="15.75" thickBot="1" x14ac:dyDescent="0.3">
      <c r="B9" s="2">
        <v>4</v>
      </c>
      <c r="C9" s="3">
        <f t="shared" si="0"/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5A62-4029-4C87-8FF0-29220F8C243E}">
  <dimension ref="B3:C10"/>
  <sheetViews>
    <sheetView showGridLines="0" zoomScale="115" zoomScaleNormal="115" workbookViewId="0">
      <selection activeCell="E18" sqref="E18"/>
    </sheetView>
  </sheetViews>
  <sheetFormatPr baseColWidth="10" defaultColWidth="11.42578125" defaultRowHeight="15" x14ac:dyDescent="0.25"/>
  <sheetData>
    <row r="3" spans="2:3" ht="15.75" thickBot="1" x14ac:dyDescent="0.3">
      <c r="B3" s="4" t="s">
        <v>0</v>
      </c>
      <c r="C3" s="5">
        <v>0.1</v>
      </c>
    </row>
    <row r="5" spans="2:3" ht="15.75" thickBot="1" x14ac:dyDescent="0.3">
      <c r="B5" s="1" t="s">
        <v>2</v>
      </c>
      <c r="C5" s="1" t="s">
        <v>3</v>
      </c>
    </row>
    <row r="6" spans="2:3" ht="15.75" thickBot="1" x14ac:dyDescent="0.3">
      <c r="B6" s="2">
        <v>0</v>
      </c>
      <c r="C6" s="3">
        <v>-1000</v>
      </c>
    </row>
    <row r="7" spans="2:3" ht="15.75" thickBot="1" x14ac:dyDescent="0.3">
      <c r="B7" s="2">
        <v>1</v>
      </c>
      <c r="C7" s="3">
        <v>600</v>
      </c>
    </row>
    <row r="8" spans="2:3" ht="15.75" thickBot="1" x14ac:dyDescent="0.3">
      <c r="B8" s="2">
        <v>2</v>
      </c>
      <c r="C8" s="3">
        <v>600</v>
      </c>
    </row>
    <row r="9" spans="2:3" ht="15.75" thickBot="1" x14ac:dyDescent="0.3">
      <c r="B9" s="2">
        <v>3</v>
      </c>
      <c r="C9" s="3">
        <v>-300</v>
      </c>
    </row>
    <row r="10" spans="2:3" ht="15.75" thickBot="1" x14ac:dyDescent="0.3">
      <c r="B10" s="2">
        <v>4</v>
      </c>
      <c r="C10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TIR (2)</vt:lpstr>
      <vt:lpstr>VPN-E1</vt:lpstr>
      <vt:lpstr>VPN-E2</vt:lpstr>
      <vt:lpstr>TIR</vt:lpstr>
      <vt:lpstr>TVR-E1</vt:lpstr>
      <vt:lpstr>TVR-E2</vt:lpstr>
      <vt:lpstr>VAE</vt:lpstr>
      <vt:lpstr>BC</vt:lpstr>
      <vt:lpstr>PayBack-E1</vt:lpstr>
      <vt:lpstr>PayBack-E2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NSMM_</dc:creator>
  <cp:keywords/>
  <dc:description/>
  <cp:lastModifiedBy>Brigitte Castañeda Rodriguez</cp:lastModifiedBy>
  <cp:revision/>
  <dcterms:created xsi:type="dcterms:W3CDTF">2015-06-05T18:17:20Z</dcterms:created>
  <dcterms:modified xsi:type="dcterms:W3CDTF">2026-02-19T15:45:02Z</dcterms:modified>
  <cp:category/>
  <cp:contentStatus/>
</cp:coreProperties>
</file>