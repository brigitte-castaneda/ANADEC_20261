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cursoanadec_uniandes_edu_co/Documents/ANADEC/ANADEC 2026-20/4. Presentaciones/4. Modulo 4 - Indicadores de Bondad Financiera/"/>
    </mc:Choice>
  </mc:AlternateContent>
  <xr:revisionPtr revIDLastSave="2" documentId="13_ncr:1_{60BB0197-94E6-46E2-B8B4-7B82660EF3AF}" xr6:coauthVersionLast="47" xr6:coauthVersionMax="47" xr10:uidLastSave="{B1187C27-F348-4142-8B90-1A275193A6CC}"/>
  <bookViews>
    <workbookView xWindow="0" yWindow="760" windowWidth="19420" windowHeight="10300" xr2:uid="{00000000-000D-0000-FFFF-FFFF00000000}"/>
  </bookViews>
  <sheets>
    <sheet name="VPN vs CO" sheetId="1" r:id="rId1"/>
    <sheet name="Payback - E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8" i="2"/>
  <c r="F7" i="2"/>
  <c r="F6" i="2"/>
  <c r="F5" i="2"/>
  <c r="E8" i="2"/>
  <c r="E7" i="2"/>
  <c r="E6" i="2"/>
  <c r="E5" i="2"/>
  <c r="E4" i="2"/>
  <c r="D6" i="2"/>
  <c r="C4" i="1"/>
  <c r="C5" i="1" l="1"/>
  <c r="F13" i="1" s="1"/>
  <c r="F10" i="1"/>
  <c r="F8" i="1"/>
  <c r="F9" i="1"/>
  <c r="F11" i="1"/>
  <c r="F5" i="1"/>
  <c r="F12" i="1"/>
  <c r="F14" i="1"/>
  <c r="F15" i="1"/>
  <c r="F16" i="1"/>
  <c r="F17" i="1"/>
  <c r="F18" i="1"/>
  <c r="F19" i="1"/>
  <c r="F4" i="1"/>
  <c r="F21" i="1"/>
  <c r="F22" i="1"/>
  <c r="F6" i="1"/>
  <c r="F7" i="1"/>
  <c r="F23" i="1"/>
  <c r="F20" i="1" l="1"/>
  <c r="F24" i="1"/>
</calcChain>
</file>

<file path=xl/sharedStrings.xml><?xml version="1.0" encoding="utf-8"?>
<sst xmlns="http://schemas.openxmlformats.org/spreadsheetml/2006/main" count="6" uniqueCount="6">
  <si>
    <t>CO</t>
  </si>
  <si>
    <t>VPN</t>
  </si>
  <si>
    <t>Periodo</t>
  </si>
  <si>
    <t>Flujos</t>
  </si>
  <si>
    <t>VP (0)</t>
  </si>
  <si>
    <t>VPN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</si>
</sst>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\ #,##0.00;[Red]\-&quot;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0" applyNumberFormat="1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sz="2400" dirty="0"/>
              <a:t>VPN vs CO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'VPN vs CO'!$E$3:$E$24</c:f>
              <c:numCache>
                <c:formatCode>0%</c:formatCode>
                <c:ptCount val="22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</c:numCache>
            </c:numRef>
          </c:cat>
          <c:val>
            <c:numRef>
              <c:f>'VPN vs CO'!$F$3:$F$24</c:f>
              <c:numCache>
                <c:formatCode>"$"\ #,##0.00;[Red]\-"$"\ #,##0.00</c:formatCode>
                <c:ptCount val="22"/>
                <c:pt idx="0">
                  <c:v>22350186.984191999</c:v>
                </c:pt>
                <c:pt idx="1">
                  <c:v>19797589.162539288</c:v>
                </c:pt>
                <c:pt idx="2">
                  <c:v>17337669.884609789</c:v>
                </c:pt>
                <c:pt idx="3">
                  <c:v>14966147.018661812</c:v>
                </c:pt>
                <c:pt idx="4">
                  <c:v>12678976.352445737</c:v>
                </c:pt>
                <c:pt idx="5">
                  <c:v>10472336.223862633</c:v>
                </c:pt>
                <c:pt idx="6">
                  <c:v>8342613.2796971202</c:v>
                </c:pt>
                <c:pt idx="7">
                  <c:v>6286389.269928351</c:v>
                </c:pt>
                <c:pt idx="8">
                  <c:v>4300428.793486461</c:v>
                </c:pt>
                <c:pt idx="9">
                  <c:v>2381667.9188579768</c:v>
                </c:pt>
                <c:pt idx="10">
                  <c:v>527203.60974559188</c:v>
                </c:pt>
                <c:pt idx="11">
                  <c:v>-1265716.1078717411</c:v>
                </c:pt>
                <c:pt idx="12">
                  <c:v>-2999701.295380041</c:v>
                </c:pt>
                <c:pt idx="13">
                  <c:v>-4677228.6209522188</c:v>
                </c:pt>
                <c:pt idx="14">
                  <c:v>-6300649.2972795218</c:v>
                </c:pt>
                <c:pt idx="15">
                  <c:v>-7872196.4820205867</c:v>
                </c:pt>
                <c:pt idx="16">
                  <c:v>-9393992.181631878</c:v>
                </c:pt>
                <c:pt idx="17">
                  <c:v>-10868053.695850089</c:v>
                </c:pt>
                <c:pt idx="18">
                  <c:v>-12296299.637007535</c:v>
                </c:pt>
                <c:pt idx="19">
                  <c:v>-13680555.555555545</c:v>
                </c:pt>
                <c:pt idx="20">
                  <c:v>-15022559.200614594</c:v>
                </c:pt>
                <c:pt idx="21">
                  <c:v>-16323965.44204139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DF-4135-B942-3A1BCC018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98448"/>
        <c:axId val="172199008"/>
      </c:lineChart>
      <c:catAx>
        <c:axId val="172198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 dirty="0"/>
                  <a:t>C.O.</a:t>
                </a:r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s-CO"/>
          </a:p>
        </c:txPr>
        <c:crossAx val="172199008"/>
        <c:crosses val="autoZero"/>
        <c:auto val="1"/>
        <c:lblAlgn val="ctr"/>
        <c:lblOffset val="100"/>
        <c:noMultiLvlLbl val="0"/>
      </c:catAx>
      <c:valAx>
        <c:axId val="172199008"/>
        <c:scaling>
          <c:orientation val="minMax"/>
        </c:scaling>
        <c:delete val="0"/>
        <c:axPos val="l"/>
        <c:numFmt formatCode="&quot;$&quot;\ #,##0.00;[Red]\-&quot;$&quot;\ #,##0.00" sourceLinked="1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es-CO"/>
          </a:p>
        </c:txPr>
        <c:crossAx val="17219844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1514453449693988E-2"/>
                <c:y val="0.49191787779166546"/>
              </c:manualLayout>
            </c:layout>
            <c:txPr>
              <a:bodyPr/>
              <a:lstStyle/>
              <a:p>
                <a:pPr>
                  <a:defRPr sz="1600"/>
                </a:pPr>
                <a:endParaRPr lang="es-CO"/>
              </a:p>
            </c:txPr>
          </c:dispUnitsLbl>
        </c:dispUnits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25</xdr:col>
      <xdr:colOff>56816</xdr:colOff>
      <xdr:row>25</xdr:row>
      <xdr:rowOff>31313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3FCA5356-424B-42A1-6EC6-BB173E5E6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24"/>
  <sheetViews>
    <sheetView tabSelected="1" zoomScale="70" zoomScaleNormal="70" workbookViewId="0">
      <selection activeCell="F13" sqref="F13"/>
    </sheetView>
  </sheetViews>
  <sheetFormatPr baseColWidth="10" defaultColWidth="8.6640625" defaultRowHeight="15" x14ac:dyDescent="0.2"/>
  <cols>
    <col min="3" max="3" width="14.5" bestFit="1" customWidth="1"/>
    <col min="6" max="6" width="19.1640625" customWidth="1"/>
  </cols>
  <sheetData>
    <row r="2" spans="3:6" x14ac:dyDescent="0.2">
      <c r="C2" s="3">
        <v>-80000000</v>
      </c>
      <c r="E2" t="s">
        <v>0</v>
      </c>
      <c r="F2" t="s">
        <v>1</v>
      </c>
    </row>
    <row r="3" spans="3:6" x14ac:dyDescent="0.2">
      <c r="C3" s="3">
        <v>15000000</v>
      </c>
      <c r="E3" s="1">
        <v>0.01</v>
      </c>
      <c r="F3" s="2">
        <f>+NPV(E3,$C$3:$C$5)+$C$2</f>
        <v>22350186.984191999</v>
      </c>
    </row>
    <row r="4" spans="3:6" x14ac:dyDescent="0.2">
      <c r="C4" s="3">
        <f>+C3</f>
        <v>15000000</v>
      </c>
      <c r="E4" s="1">
        <v>0.02</v>
      </c>
      <c r="F4" s="2">
        <f t="shared" ref="F4:F24" si="0">+NPV(E4,$C$3:$C$5)+$C$2</f>
        <v>19797589.162539288</v>
      </c>
    </row>
    <row r="5" spans="3:6" x14ac:dyDescent="0.2">
      <c r="C5" s="3">
        <f>+C4+60000000</f>
        <v>75000000</v>
      </c>
      <c r="E5" s="1">
        <v>0.03</v>
      </c>
      <c r="F5" s="2">
        <f t="shared" si="0"/>
        <v>17337669.884609789</v>
      </c>
    </row>
    <row r="6" spans="3:6" x14ac:dyDescent="0.2">
      <c r="E6" s="1">
        <v>0.04</v>
      </c>
      <c r="F6" s="2">
        <f t="shared" si="0"/>
        <v>14966147.018661812</v>
      </c>
    </row>
    <row r="7" spans="3:6" x14ac:dyDescent="0.2">
      <c r="E7" s="1">
        <v>0.05</v>
      </c>
      <c r="F7" s="2">
        <f t="shared" si="0"/>
        <v>12678976.352445737</v>
      </c>
    </row>
    <row r="8" spans="3:6" x14ac:dyDescent="0.2">
      <c r="E8" s="1">
        <v>0.06</v>
      </c>
      <c r="F8" s="2">
        <f t="shared" si="0"/>
        <v>10472336.223862633</v>
      </c>
    </row>
    <row r="9" spans="3:6" x14ac:dyDescent="0.2">
      <c r="E9" s="1">
        <v>7.0000000000000007E-2</v>
      </c>
      <c r="F9" s="2">
        <f t="shared" si="0"/>
        <v>8342613.2796971202</v>
      </c>
    </row>
    <row r="10" spans="3:6" x14ac:dyDescent="0.2">
      <c r="E10" s="1">
        <v>0.08</v>
      </c>
      <c r="F10" s="2">
        <f t="shared" si="0"/>
        <v>6286389.269928351</v>
      </c>
    </row>
    <row r="11" spans="3:6" x14ac:dyDescent="0.2">
      <c r="E11" s="1">
        <v>0.09</v>
      </c>
      <c r="F11" s="2">
        <f t="shared" si="0"/>
        <v>4300428.793486461</v>
      </c>
    </row>
    <row r="12" spans="3:6" x14ac:dyDescent="0.2">
      <c r="E12" s="1">
        <v>0.1</v>
      </c>
      <c r="F12" s="2">
        <f t="shared" si="0"/>
        <v>2381667.9188579768</v>
      </c>
    </row>
    <row r="13" spans="3:6" x14ac:dyDescent="0.2">
      <c r="E13" s="1">
        <v>0.11</v>
      </c>
      <c r="F13" s="2">
        <f t="shared" si="0"/>
        <v>527203.60974559188</v>
      </c>
    </row>
    <row r="14" spans="3:6" x14ac:dyDescent="0.2">
      <c r="E14" s="1">
        <v>0.12</v>
      </c>
      <c r="F14" s="2">
        <f t="shared" si="0"/>
        <v>-1265716.1078717411</v>
      </c>
    </row>
    <row r="15" spans="3:6" x14ac:dyDescent="0.2">
      <c r="E15" s="1">
        <v>0.13</v>
      </c>
      <c r="F15" s="2">
        <f t="shared" si="0"/>
        <v>-2999701.295380041</v>
      </c>
    </row>
    <row r="16" spans="3:6" x14ac:dyDescent="0.2">
      <c r="E16" s="1">
        <v>0.14000000000000001</v>
      </c>
      <c r="F16" s="2">
        <f t="shared" si="0"/>
        <v>-4677228.6209522188</v>
      </c>
    </row>
    <row r="17" spans="5:6" x14ac:dyDescent="0.2">
      <c r="E17" s="1">
        <v>0.15</v>
      </c>
      <c r="F17" s="2">
        <f t="shared" si="0"/>
        <v>-6300649.2972795218</v>
      </c>
    </row>
    <row r="18" spans="5:6" x14ac:dyDescent="0.2">
      <c r="E18" s="1">
        <v>0.16</v>
      </c>
      <c r="F18" s="2">
        <f t="shared" si="0"/>
        <v>-7872196.4820205867</v>
      </c>
    </row>
    <row r="19" spans="5:6" x14ac:dyDescent="0.2">
      <c r="E19" s="1">
        <v>0.17</v>
      </c>
      <c r="F19" s="2">
        <f t="shared" si="0"/>
        <v>-9393992.181631878</v>
      </c>
    </row>
    <row r="20" spans="5:6" x14ac:dyDescent="0.2">
      <c r="E20" s="1">
        <v>0.18</v>
      </c>
      <c r="F20" s="2">
        <f t="shared" si="0"/>
        <v>-10868053.695850089</v>
      </c>
    </row>
    <row r="21" spans="5:6" x14ac:dyDescent="0.2">
      <c r="E21" s="1">
        <v>0.19</v>
      </c>
      <c r="F21" s="2">
        <f t="shared" si="0"/>
        <v>-12296299.637007535</v>
      </c>
    </row>
    <row r="22" spans="5:6" x14ac:dyDescent="0.2">
      <c r="E22" s="1">
        <v>0.2</v>
      </c>
      <c r="F22" s="2">
        <f t="shared" si="0"/>
        <v>-13680555.555555545</v>
      </c>
    </row>
    <row r="23" spans="5:6" x14ac:dyDescent="0.2">
      <c r="E23" s="1">
        <v>0.21</v>
      </c>
      <c r="F23" s="2">
        <f t="shared" si="0"/>
        <v>-15022559.200614594</v>
      </c>
    </row>
    <row r="24" spans="5:6" x14ac:dyDescent="0.2">
      <c r="E24" s="1">
        <v>0.22</v>
      </c>
      <c r="F24" s="2">
        <f t="shared" si="0"/>
        <v>-16323965.44204139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76C9-7AB0-4E13-95BF-B01744FCA2E8}">
  <dimension ref="C3:F8"/>
  <sheetViews>
    <sheetView workbookViewId="0">
      <selection activeCell="E18" sqref="E18"/>
    </sheetView>
  </sheetViews>
  <sheetFormatPr baseColWidth="10" defaultColWidth="11.5" defaultRowHeight="15" x14ac:dyDescent="0.2"/>
  <cols>
    <col min="6" max="6" width="11.1640625" bestFit="1" customWidth="1"/>
  </cols>
  <sheetData>
    <row r="3" spans="3:6" x14ac:dyDescent="0.2">
      <c r="C3" t="s">
        <v>2</v>
      </c>
      <c r="D3" t="s">
        <v>3</v>
      </c>
      <c r="E3" t="s">
        <v>4</v>
      </c>
      <c r="F3" t="s">
        <v>5</v>
      </c>
    </row>
    <row r="4" spans="3:6" x14ac:dyDescent="0.2">
      <c r="C4">
        <v>0</v>
      </c>
      <c r="D4">
        <v>-1000</v>
      </c>
      <c r="E4">
        <f>+D4/1.1^C4</f>
        <v>-1000</v>
      </c>
    </row>
    <row r="5" spans="3:6" x14ac:dyDescent="0.2">
      <c r="C5">
        <v>1</v>
      </c>
      <c r="D5">
        <v>600</v>
      </c>
      <c r="E5">
        <f t="shared" ref="E5:E8" si="0">+D5/1.1^C5</f>
        <v>545.45454545454538</v>
      </c>
      <c r="F5">
        <f>+SUM($E$4:E5)</f>
        <v>-454.54545454545462</v>
      </c>
    </row>
    <row r="6" spans="3:6" x14ac:dyDescent="0.2">
      <c r="C6">
        <v>2</v>
      </c>
      <c r="D6">
        <f>+D5</f>
        <v>600</v>
      </c>
      <c r="E6">
        <f t="shared" si="0"/>
        <v>495.86776859504124</v>
      </c>
      <c r="F6">
        <f>+SUM($E$4:E6)</f>
        <v>41.322314049586623</v>
      </c>
    </row>
    <row r="7" spans="3:6" x14ac:dyDescent="0.2">
      <c r="C7">
        <v>3</v>
      </c>
      <c r="D7">
        <v>-300</v>
      </c>
      <c r="E7">
        <f t="shared" si="0"/>
        <v>-225.39444027047327</v>
      </c>
      <c r="F7">
        <f>+SUM($E$4:E7)</f>
        <v>-184.07212622088664</v>
      </c>
    </row>
    <row r="8" spans="3:6" x14ac:dyDescent="0.2">
      <c r="C8">
        <v>4</v>
      </c>
      <c r="D8">
        <v>600</v>
      </c>
      <c r="E8">
        <f t="shared" si="0"/>
        <v>409.80807321904229</v>
      </c>
      <c r="F8">
        <f>+SUM($E$4:E8)</f>
        <v>225.73594699815564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VPN vs CO</vt:lpstr>
      <vt:lpstr>Payback - 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NSMM_</dc:creator>
  <cp:keywords/>
  <dc:description/>
  <cp:lastModifiedBy>Brigitte Castañeda Rodriguez</cp:lastModifiedBy>
  <cp:revision/>
  <dcterms:created xsi:type="dcterms:W3CDTF">2015-06-05T18:17:20Z</dcterms:created>
  <dcterms:modified xsi:type="dcterms:W3CDTF">2026-08-27T18:49:38Z</dcterms:modified>
  <cp:category/>
  <cp:contentStatus/>
</cp:coreProperties>
</file>