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zp\Downloads\"/>
    </mc:Choice>
  </mc:AlternateContent>
  <xr:revisionPtr revIDLastSave="11" documentId="13_ncr:1_{2ADB9CE0-596D-4BB1-B43B-F0A2C27C4B83}" xr6:coauthVersionLast="47" xr6:coauthVersionMax="47" xr10:uidLastSave="{3C6E6EE5-3F9D-4A32-8818-1A75A4ABAA83}"/>
  <bookViews>
    <workbookView xWindow="-108" yWindow="-108" windowWidth="23256" windowHeight="13896" firstSheet="3" activeTab="3" xr2:uid="{4E5F0D87-07F4-4D8B-AEFE-CD38170F1579}"/>
  </bookViews>
  <sheets>
    <sheet name="Línea Recta" sheetId="1" r:id="rId1"/>
    <sheet name="Reducción de Saldos" sheetId="2" r:id="rId2"/>
    <sheet name="Unidades Productivas" sheetId="3" r:id="rId3"/>
    <sheet name="Compara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E11" i="4"/>
  <c r="D11" i="4"/>
  <c r="C11" i="4"/>
  <c r="B12" i="4"/>
  <c r="B13" i="4" s="1"/>
  <c r="B14" i="4" s="1"/>
  <c r="B15" i="4" s="1"/>
  <c r="B16" i="4" s="1"/>
  <c r="B17" i="4" s="1"/>
  <c r="B18" i="4" s="1"/>
  <c r="B19" i="4" s="1"/>
  <c r="B20" i="4" s="1"/>
  <c r="H6" i="3"/>
  <c r="H7" i="3" s="1"/>
  <c r="H8" i="3" s="1"/>
  <c r="H9" i="3" s="1"/>
  <c r="H10" i="3" s="1"/>
  <c r="H11" i="3" s="1"/>
  <c r="H12" i="3" s="1"/>
  <c r="H13" i="3" s="1"/>
  <c r="H14" i="3" s="1"/>
  <c r="C25" i="3"/>
  <c r="B15" i="3"/>
  <c r="B16" i="3" s="1"/>
  <c r="B17" i="3" s="1"/>
  <c r="B18" i="3" s="1"/>
  <c r="B19" i="3" s="1"/>
  <c r="B20" i="3" s="1"/>
  <c r="B21" i="3" s="1"/>
  <c r="B22" i="3" s="1"/>
  <c r="B23" i="3" s="1"/>
  <c r="B24" i="3" s="1"/>
  <c r="G6" i="2"/>
  <c r="G7" i="2" s="1"/>
  <c r="G8" i="2" s="1"/>
  <c r="G9" i="2" s="1"/>
  <c r="G10" i="2" s="1"/>
  <c r="G11" i="2" s="1"/>
  <c r="G12" i="2" s="1"/>
  <c r="G13" i="2" s="1"/>
  <c r="G14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G6" i="1" l="1"/>
  <c r="G7" i="1" s="1"/>
  <c r="G8" i="1" s="1"/>
  <c r="G9" i="1" s="1"/>
  <c r="G10" i="1" s="1"/>
  <c r="G11" i="1" s="1"/>
  <c r="G12" i="1" s="1"/>
  <c r="G13" i="1" s="1"/>
  <c r="G14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C6" i="4" l="1"/>
  <c r="D6" i="4"/>
  <c r="D4" i="4"/>
  <c r="C4" i="4"/>
  <c r="D5" i="4" l="1"/>
  <c r="C5" i="4"/>
</calcChain>
</file>

<file path=xl/sharedStrings.xml><?xml version="1.0" encoding="utf-8"?>
<sst xmlns="http://schemas.openxmlformats.org/spreadsheetml/2006/main" count="68" uniqueCount="27">
  <si>
    <t>MÉTODO DE LÍNEA RECTA</t>
  </si>
  <si>
    <t>Valor Activo</t>
  </si>
  <si>
    <t>Periodo</t>
  </si>
  <si>
    <t>Utilidad Bruta</t>
  </si>
  <si>
    <t>Dep Periodo</t>
  </si>
  <si>
    <t>EBIT</t>
  </si>
  <si>
    <t>Impuestos</t>
  </si>
  <si>
    <t>Valor Salvamento</t>
  </si>
  <si>
    <t>Vida Útil</t>
  </si>
  <si>
    <t>Dep. Periodo</t>
  </si>
  <si>
    <t>Dep. Acumulada</t>
  </si>
  <si>
    <t>Valor Libros</t>
  </si>
  <si>
    <t>Costo de Oportunidad</t>
  </si>
  <si>
    <t>EA</t>
  </si>
  <si>
    <t>Tasa Impositiva</t>
  </si>
  <si>
    <t xml:space="preserve">VP Impuestos </t>
  </si>
  <si>
    <t>Suma Impuestos</t>
  </si>
  <si>
    <t>MÉTODO DE REDUCCIÓN DE SALDOS</t>
  </si>
  <si>
    <t>MÉTODO DE UNIDADES PRODUCTIVAS</t>
  </si>
  <si>
    <t>Unidades</t>
  </si>
  <si>
    <t>Capacidad Máxima</t>
  </si>
  <si>
    <t>Método de Depreciación</t>
  </si>
  <si>
    <t>Se pagan menos impuestos con Reducción de Saldos, el cual es un método de depreciación ACELERADO (se deprecia más al comienzo de la vida útil del activo que al final).</t>
  </si>
  <si>
    <t>Línea Recta</t>
  </si>
  <si>
    <t>Reducción de Saldos</t>
  </si>
  <si>
    <t>Unidades Productivas</t>
  </si>
  <si>
    <t>Comparativo de Métodos de Depreciación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</si>
</sst>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&quot;$&quot;\ * #,##0.00_);_(&quot;$&quot;\ * \(#,##0.00\);_(&quot;$&quot;\ * &quot;-&quot;??_);_(@_)"/>
    <numFmt numFmtId="166" formatCode="&quot;$&quot;\ #,##0"/>
    <numFmt numFmtId="167" formatCode="_(&quot;$&quot;\ * #,##0_);_(&quot;$&quot;\ * \(#,##0\);_(&quot;$&quot;\ 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8" tint="-0.249977111117893"/>
      <name val="Century Gothic"/>
      <family val="2"/>
    </font>
    <font>
      <b/>
      <sz val="11"/>
      <color rgb="FFC00000"/>
      <name val="Century Gothic"/>
      <family val="1"/>
    </font>
    <font>
      <sz val="11"/>
      <color theme="1"/>
      <name val="Century Gothic"/>
      <family val="1"/>
    </font>
    <font>
      <b/>
      <sz val="11"/>
      <color theme="9" tint="-0.49998474074526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41" fontId="2" fillId="3" borderId="1" xfId="2" applyFont="1" applyFill="1" applyBorder="1" applyAlignment="1">
      <alignment horizontal="center"/>
    </xf>
    <xf numFmtId="0" fontId="5" fillId="0" borderId="0" xfId="0" applyFont="1"/>
    <xf numFmtId="166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vertical="center" wrapText="1"/>
    </xf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166" fontId="2" fillId="0" borderId="1" xfId="0" applyNumberFormat="1" applyFont="1" applyBorder="1" applyAlignment="1">
      <alignment horizontal="center"/>
    </xf>
    <xf numFmtId="9" fontId="0" fillId="0" borderId="0" xfId="3" applyFont="1"/>
    <xf numFmtId="166" fontId="2" fillId="0" borderId="0" xfId="0" applyNumberFormat="1" applyFont="1" applyAlignment="1">
      <alignment horizontal="center"/>
    </xf>
    <xf numFmtId="166" fontId="2" fillId="0" borderId="1" xfId="1" applyNumberFormat="1" applyFont="1" applyBorder="1"/>
    <xf numFmtId="167" fontId="2" fillId="3" borderId="1" xfId="1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5" borderId="1" xfId="0" applyFont="1" applyFill="1" applyBorder="1"/>
    <xf numFmtId="0" fontId="2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Comparación!$C$10</c:f>
              <c:strCache>
                <c:ptCount val="1"/>
                <c:pt idx="0">
                  <c:v>Línea Recta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Comparación!$B$11:$B$20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Comparación!$C$11:$C$20</c:f>
              <c:numCache>
                <c:formatCode>"$"\ 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25-49BC-AA5E-3F61BE328D7F}"/>
            </c:ext>
          </c:extLst>
        </c:ser>
        <c:ser>
          <c:idx val="2"/>
          <c:order val="1"/>
          <c:tx>
            <c:strRef>
              <c:f>Comparación!$D$10</c:f>
              <c:strCache>
                <c:ptCount val="1"/>
                <c:pt idx="0">
                  <c:v>Reducción de Saldos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>
                  <a:lumMod val="50000"/>
                </a:schemeClr>
              </a:solidFill>
              <a:ln w="9525" cap="rnd">
                <a:solidFill>
                  <a:schemeClr val="accent2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Comparación!$B$11:$B$20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Comparación!$D$11:$D$20</c:f>
              <c:numCache>
                <c:formatCode>"$"\ 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25-49BC-AA5E-3F61BE32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69312"/>
        <c:axId val="755911696"/>
      </c:scatterChart>
      <c:valAx>
        <c:axId val="75526931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CO"/>
          </a:p>
        </c:txPr>
        <c:crossAx val="755911696"/>
        <c:crosses val="autoZero"/>
        <c:crossBetween val="midCat"/>
      </c:valAx>
      <c:valAx>
        <c:axId val="7559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CO"/>
          </a:p>
        </c:txPr>
        <c:crossAx val="75526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</xdr:row>
      <xdr:rowOff>171450</xdr:rowOff>
    </xdr:from>
    <xdr:to>
      <xdr:col>5</xdr:col>
      <xdr:colOff>237534</xdr:colOff>
      <xdr:row>8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C567DC-6B24-433D-8742-6F1992C2C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409700"/>
          <a:ext cx="4509814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19050</xdr:rowOff>
    </xdr:from>
    <xdr:to>
      <xdr:col>5</xdr:col>
      <xdr:colOff>213995</xdr:colOff>
      <xdr:row>9</xdr:row>
      <xdr:rowOff>168987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2458C-5775-45BE-AF85-63F9565D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1885950"/>
          <a:ext cx="4486275" cy="14993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</xdr:row>
      <xdr:rowOff>123825</xdr:rowOff>
    </xdr:from>
    <xdr:to>
      <xdr:col>5</xdr:col>
      <xdr:colOff>109220</xdr:colOff>
      <xdr:row>11</xdr:row>
      <xdr:rowOff>107266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304288-359D-4EB0-932C-70A60236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2200275"/>
          <a:ext cx="4333875" cy="170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9</xdr:row>
      <xdr:rowOff>9525</xdr:rowOff>
    </xdr:from>
    <xdr:ext cx="4486275" cy="149937"/>
    <xdr:pic>
      <xdr:nvPicPr>
        <xdr:cNvPr id="5" name="Imagen 4">
          <a:extLst>
            <a:ext uri="{FF2B5EF4-FFF2-40B4-BE49-F238E27FC236}">
              <a16:creationId xmlns:a16="http://schemas.microsoft.com/office/drawing/2014/main" id="{49916785-B845-4B47-A07A-601A714B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7010" y="1594485"/>
          <a:ext cx="4486275" cy="149937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10</xdr:row>
      <xdr:rowOff>123825</xdr:rowOff>
    </xdr:from>
    <xdr:ext cx="4333875" cy="170131"/>
    <xdr:pic>
      <xdr:nvPicPr>
        <xdr:cNvPr id="6" name="Imagen 5">
          <a:extLst>
            <a:ext uri="{FF2B5EF4-FFF2-40B4-BE49-F238E27FC236}">
              <a16:creationId xmlns:a16="http://schemas.microsoft.com/office/drawing/2014/main" id="{A4CD6D5C-E667-42B2-80D4-F12DD65C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5110" y="1891665"/>
          <a:ext cx="4333875" cy="170131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6</xdr:row>
      <xdr:rowOff>104775</xdr:rowOff>
    </xdr:from>
    <xdr:to>
      <xdr:col>5</xdr:col>
      <xdr:colOff>155575</xdr:colOff>
      <xdr:row>8</xdr:row>
      <xdr:rowOff>118682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09FA87D-5893-48E1-AB92-10D38AED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7485" y="1141095"/>
          <a:ext cx="4550410" cy="379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</xdr:colOff>
      <xdr:row>8</xdr:row>
      <xdr:rowOff>154305</xdr:rowOff>
    </xdr:from>
    <xdr:ext cx="4486275" cy="149937"/>
    <xdr:pic>
      <xdr:nvPicPr>
        <xdr:cNvPr id="11" name="Imagen 10">
          <a:extLst>
            <a:ext uri="{FF2B5EF4-FFF2-40B4-BE49-F238E27FC236}">
              <a16:creationId xmlns:a16="http://schemas.microsoft.com/office/drawing/2014/main" id="{1E89771F-F2D9-479F-BA39-40029D7C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8710" y="1556385"/>
          <a:ext cx="4486275" cy="149937"/>
        </a:xfrm>
        <a:prstGeom prst="rect">
          <a:avLst/>
        </a:prstGeom>
      </xdr:spPr>
    </xdr:pic>
    <xdr:clientData/>
  </xdr:oneCellAnchor>
  <xdr:oneCellAnchor>
    <xdr:from>
      <xdr:col>1</xdr:col>
      <xdr:colOff>87630</xdr:colOff>
      <xdr:row>10</xdr:row>
      <xdr:rowOff>85725</xdr:rowOff>
    </xdr:from>
    <xdr:ext cx="4333875" cy="170131"/>
    <xdr:pic>
      <xdr:nvPicPr>
        <xdr:cNvPr id="12" name="Imagen 11">
          <a:extLst>
            <a:ext uri="{FF2B5EF4-FFF2-40B4-BE49-F238E27FC236}">
              <a16:creationId xmlns:a16="http://schemas.microsoft.com/office/drawing/2014/main" id="{AB07F601-9580-4E3F-9354-F856DE12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6810" y="1853565"/>
          <a:ext cx="4333875" cy="170131"/>
        </a:xfrm>
        <a:prstGeom prst="rect">
          <a:avLst/>
        </a:prstGeom>
      </xdr:spPr>
    </xdr:pic>
    <xdr:clientData/>
  </xdr:oneCellAnchor>
  <xdr:twoCellAnchor editAs="oneCell">
    <xdr:from>
      <xdr:col>1</xdr:col>
      <xdr:colOff>30480</xdr:colOff>
      <xdr:row>6</xdr:row>
      <xdr:rowOff>25084</xdr:rowOff>
    </xdr:from>
    <xdr:to>
      <xdr:col>5</xdr:col>
      <xdr:colOff>844550</xdr:colOff>
      <xdr:row>8</xdr:row>
      <xdr:rowOff>32286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A7C194-0F44-4775-9740-BE0FF976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19660" y="1061404"/>
          <a:ext cx="5397500" cy="4301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</xdr:colOff>
      <xdr:row>6</xdr:row>
      <xdr:rowOff>99060</xdr:rowOff>
    </xdr:from>
    <xdr:to>
      <xdr:col>10</xdr:col>
      <xdr:colOff>899160</xdr:colOff>
      <xdr:row>20</xdr:row>
      <xdr:rowOff>30480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8A374EE-998A-4E06-BC60-E99C72E85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FDB2-B70D-45E2-9ECD-52268F060DEA}">
  <dimension ref="B1:N67"/>
  <sheetViews>
    <sheetView showGridLines="0" zoomScaleNormal="100" workbookViewId="0">
      <selection activeCell="J24" sqref="J24"/>
    </sheetView>
  </sheetViews>
  <sheetFormatPr defaultColWidth="11.42578125" defaultRowHeight="14.45"/>
  <cols>
    <col min="1" max="1" width="5.7109375" customWidth="1"/>
    <col min="2" max="2" width="18.28515625" style="1" bestFit="1" customWidth="1"/>
    <col min="3" max="3" width="14.28515625" style="1" bestFit="1" customWidth="1"/>
    <col min="4" max="4" width="17.85546875" style="1" bestFit="1" customWidth="1"/>
    <col min="5" max="5" width="14" style="1" bestFit="1" customWidth="1"/>
    <col min="6" max="6" width="12.7109375" bestFit="1" customWidth="1"/>
    <col min="7" max="7" width="23.140625" bestFit="1" customWidth="1"/>
    <col min="8" max="8" width="15" bestFit="1" customWidth="1"/>
    <col min="9" max="9" width="13.28515625" bestFit="1" customWidth="1"/>
    <col min="10" max="10" width="13.7109375" bestFit="1" customWidth="1"/>
    <col min="11" max="11" width="12.7109375" bestFit="1" customWidth="1"/>
    <col min="12" max="12" width="20.85546875" bestFit="1" customWidth="1"/>
    <col min="13" max="13" width="14.28515625" bestFit="1" customWidth="1"/>
    <col min="14" max="14" width="23.140625" bestFit="1" customWidth="1"/>
    <col min="15" max="15" width="14.28515625" bestFit="1" customWidth="1"/>
    <col min="16" max="16" width="17.85546875" bestFit="1" customWidth="1"/>
    <col min="17" max="17" width="14.28515625" bestFit="1" customWidth="1"/>
    <col min="18" max="18" width="12.7109375" bestFit="1" customWidth="1"/>
  </cols>
  <sheetData>
    <row r="1" spans="2:11" ht="9.9499999999999993" customHeight="1"/>
    <row r="2" spans="2:11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G3" s="1"/>
      <c r="H3" s="1"/>
      <c r="I3" s="1"/>
      <c r="J3" s="1"/>
    </row>
    <row r="4" spans="2:11">
      <c r="B4" s="22" t="s">
        <v>1</v>
      </c>
      <c r="C4" s="16">
        <v>80000000</v>
      </c>
      <c r="G4" s="19" t="s">
        <v>2</v>
      </c>
      <c r="H4" s="19" t="s">
        <v>3</v>
      </c>
      <c r="I4" s="19" t="s">
        <v>4</v>
      </c>
      <c r="J4" s="19" t="s">
        <v>5</v>
      </c>
      <c r="K4" s="19" t="s">
        <v>6</v>
      </c>
    </row>
    <row r="5" spans="2:11">
      <c r="B5" s="22" t="s">
        <v>7</v>
      </c>
      <c r="C5" s="16">
        <v>10000000</v>
      </c>
      <c r="G5" s="3">
        <v>1</v>
      </c>
      <c r="H5" s="7">
        <v>100000000</v>
      </c>
      <c r="I5" s="7"/>
      <c r="J5" s="7"/>
      <c r="K5" s="7"/>
    </row>
    <row r="6" spans="2:11">
      <c r="B6" s="22" t="s">
        <v>8</v>
      </c>
      <c r="C6" s="2">
        <v>10</v>
      </c>
      <c r="G6" s="3">
        <f t="shared" ref="G6:G14" si="0">G5+1</f>
        <v>2</v>
      </c>
      <c r="H6" s="7">
        <v>100000000</v>
      </c>
      <c r="I6" s="7"/>
      <c r="J6" s="7"/>
      <c r="K6" s="7"/>
    </row>
    <row r="7" spans="2:11">
      <c r="B7" s="4"/>
      <c r="G7" s="3">
        <f t="shared" si="0"/>
        <v>3</v>
      </c>
      <c r="H7" s="7">
        <v>100000000</v>
      </c>
      <c r="I7" s="7"/>
      <c r="J7" s="7"/>
      <c r="K7" s="7"/>
    </row>
    <row r="8" spans="2:11">
      <c r="B8" s="4"/>
      <c r="G8" s="3">
        <f t="shared" si="0"/>
        <v>4</v>
      </c>
      <c r="H8" s="7">
        <v>100000000</v>
      </c>
      <c r="I8" s="7"/>
      <c r="J8" s="7"/>
      <c r="K8" s="7"/>
    </row>
    <row r="9" spans="2:11">
      <c r="B9" s="4"/>
      <c r="G9" s="3">
        <f t="shared" si="0"/>
        <v>5</v>
      </c>
      <c r="H9" s="7">
        <v>100000000</v>
      </c>
      <c r="I9" s="7"/>
      <c r="J9" s="7"/>
      <c r="K9" s="7"/>
    </row>
    <row r="10" spans="2:11">
      <c r="B10" s="4"/>
      <c r="G10" s="3">
        <f t="shared" si="0"/>
        <v>6</v>
      </c>
      <c r="H10" s="7">
        <v>100000000</v>
      </c>
      <c r="I10" s="7"/>
      <c r="J10" s="7"/>
      <c r="K10" s="7"/>
    </row>
    <row r="11" spans="2:11">
      <c r="B11" s="4"/>
      <c r="G11" s="3">
        <f t="shared" si="0"/>
        <v>7</v>
      </c>
      <c r="H11" s="7">
        <v>100000000</v>
      </c>
      <c r="I11" s="7"/>
      <c r="J11" s="7"/>
      <c r="K11" s="7"/>
    </row>
    <row r="12" spans="2:11">
      <c r="G12" s="3">
        <f t="shared" si="0"/>
        <v>8</v>
      </c>
      <c r="H12" s="7">
        <v>100000000</v>
      </c>
      <c r="I12" s="7"/>
      <c r="J12" s="7"/>
      <c r="K12" s="7"/>
    </row>
    <row r="13" spans="2:11">
      <c r="B13" s="19" t="s">
        <v>2</v>
      </c>
      <c r="C13" s="19" t="s">
        <v>9</v>
      </c>
      <c r="D13" s="19" t="s">
        <v>10</v>
      </c>
      <c r="E13" s="19" t="s">
        <v>11</v>
      </c>
      <c r="G13" s="3">
        <f t="shared" si="0"/>
        <v>9</v>
      </c>
      <c r="H13" s="7">
        <v>100000000</v>
      </c>
      <c r="I13" s="7"/>
      <c r="J13" s="7"/>
      <c r="K13" s="7"/>
    </row>
    <row r="14" spans="2:11">
      <c r="B14" s="3">
        <v>0</v>
      </c>
      <c r="C14" s="17"/>
      <c r="D14" s="17"/>
      <c r="E14" s="18"/>
      <c r="G14" s="3">
        <f t="shared" si="0"/>
        <v>10</v>
      </c>
      <c r="H14" s="7">
        <v>100000000</v>
      </c>
      <c r="I14" s="7"/>
      <c r="J14" s="7"/>
      <c r="K14" s="7"/>
    </row>
    <row r="15" spans="2:11">
      <c r="B15" s="3">
        <f>B14+1</f>
        <v>1</v>
      </c>
      <c r="C15" s="18"/>
      <c r="D15" s="18"/>
      <c r="E15" s="18"/>
      <c r="G15" s="1"/>
      <c r="H15" s="1"/>
      <c r="I15" s="1"/>
      <c r="J15" s="1"/>
    </row>
    <row r="16" spans="2:11">
      <c r="B16" s="3">
        <f t="shared" ref="B16:B24" si="1">B15+1</f>
        <v>2</v>
      </c>
      <c r="C16" s="18"/>
      <c r="D16" s="18"/>
      <c r="E16" s="18"/>
      <c r="G16" s="19" t="s">
        <v>12</v>
      </c>
      <c r="H16" s="10">
        <v>0.1</v>
      </c>
      <c r="I16" s="11" t="s">
        <v>13</v>
      </c>
      <c r="J16" s="1"/>
    </row>
    <row r="17" spans="2:13">
      <c r="B17" s="3">
        <f t="shared" si="1"/>
        <v>3</v>
      </c>
      <c r="C17" s="18"/>
      <c r="D17" s="18"/>
      <c r="E17" s="18"/>
      <c r="G17" s="19" t="s">
        <v>14</v>
      </c>
      <c r="H17" s="10">
        <v>0.35</v>
      </c>
      <c r="I17" s="12"/>
      <c r="J17" s="1"/>
    </row>
    <row r="18" spans="2:13">
      <c r="B18" s="3">
        <f t="shared" si="1"/>
        <v>4</v>
      </c>
      <c r="C18" s="18"/>
      <c r="D18" s="18"/>
      <c r="E18" s="18"/>
      <c r="G18" s="1"/>
      <c r="H18" s="1"/>
      <c r="I18" s="1"/>
      <c r="J18" s="1"/>
    </row>
    <row r="19" spans="2:13">
      <c r="B19" s="3">
        <f t="shared" si="1"/>
        <v>5</v>
      </c>
      <c r="C19" s="18"/>
      <c r="D19" s="18"/>
      <c r="E19" s="18"/>
      <c r="G19" s="19" t="s">
        <v>15</v>
      </c>
      <c r="H19" s="7"/>
      <c r="I19" s="1"/>
      <c r="J19" s="1"/>
    </row>
    <row r="20" spans="2:13">
      <c r="B20" s="3">
        <f t="shared" si="1"/>
        <v>6</v>
      </c>
      <c r="C20" s="18"/>
      <c r="D20" s="18"/>
      <c r="E20" s="18"/>
      <c r="G20" s="19" t="s">
        <v>16</v>
      </c>
      <c r="H20" s="7"/>
      <c r="I20" s="1"/>
      <c r="J20" s="1"/>
    </row>
    <row r="21" spans="2:13">
      <c r="B21" s="3">
        <f t="shared" si="1"/>
        <v>7</v>
      </c>
      <c r="C21" s="18"/>
      <c r="D21" s="18"/>
      <c r="E21" s="18"/>
    </row>
    <row r="22" spans="2:13">
      <c r="B22" s="3">
        <f t="shared" si="1"/>
        <v>8</v>
      </c>
      <c r="C22" s="18"/>
      <c r="D22" s="18"/>
      <c r="E22" s="18"/>
    </row>
    <row r="23" spans="2:13">
      <c r="B23" s="3">
        <f t="shared" si="1"/>
        <v>9</v>
      </c>
      <c r="C23" s="18"/>
      <c r="D23" s="18"/>
      <c r="E23" s="18"/>
    </row>
    <row r="24" spans="2:13">
      <c r="B24" s="3">
        <f t="shared" si="1"/>
        <v>10</v>
      </c>
      <c r="C24" s="18"/>
      <c r="D24" s="18"/>
      <c r="E24" s="18"/>
    </row>
    <row r="26" spans="2:13">
      <c r="B26" s="6"/>
      <c r="M26" s="14"/>
    </row>
    <row r="34" spans="2:5" ht="15" customHeight="1"/>
    <row r="46" spans="2:5">
      <c r="B46"/>
      <c r="C46"/>
      <c r="D46"/>
      <c r="E46"/>
    </row>
    <row r="47" spans="2:5">
      <c r="B47"/>
      <c r="C47"/>
      <c r="D47"/>
      <c r="E47"/>
    </row>
    <row r="48" spans="2:5">
      <c r="B48"/>
      <c r="C48"/>
      <c r="D48"/>
      <c r="E48"/>
    </row>
    <row r="49" spans="2:14">
      <c r="B49"/>
      <c r="C49"/>
      <c r="D49"/>
      <c r="E49"/>
    </row>
    <row r="50" spans="2:14">
      <c r="B50"/>
      <c r="C50"/>
      <c r="D50"/>
      <c r="E50"/>
    </row>
    <row r="51" spans="2:14">
      <c r="B51"/>
      <c r="C51"/>
      <c r="D51"/>
      <c r="E51"/>
    </row>
    <row r="52" spans="2:14">
      <c r="B52"/>
      <c r="C52"/>
      <c r="D52"/>
      <c r="E52"/>
    </row>
    <row r="53" spans="2:14">
      <c r="B53"/>
      <c r="C53"/>
      <c r="D53"/>
      <c r="E53"/>
    </row>
    <row r="54" spans="2:14">
      <c r="B54"/>
      <c r="C54"/>
      <c r="D54"/>
      <c r="E54"/>
    </row>
    <row r="55" spans="2:14">
      <c r="B55"/>
      <c r="C55"/>
      <c r="D55"/>
      <c r="E55"/>
    </row>
    <row r="56" spans="2:14">
      <c r="B56"/>
      <c r="C56"/>
      <c r="D56"/>
      <c r="E56"/>
      <c r="N56" s="9"/>
    </row>
    <row r="57" spans="2:14">
      <c r="B57"/>
      <c r="C57"/>
      <c r="D57"/>
      <c r="E57"/>
      <c r="K57" s="9"/>
      <c r="L57" s="9"/>
      <c r="M57" s="9"/>
      <c r="N57" s="9"/>
    </row>
    <row r="58" spans="2:14">
      <c r="B58"/>
      <c r="C58"/>
      <c r="D58"/>
      <c r="E58"/>
      <c r="K58" s="9"/>
      <c r="L58" s="9"/>
      <c r="M58" s="9"/>
      <c r="N58" s="9"/>
    </row>
    <row r="59" spans="2:14">
      <c r="B59"/>
      <c r="C59"/>
      <c r="D59"/>
      <c r="E59"/>
    </row>
    <row r="60" spans="2:14">
      <c r="B60"/>
      <c r="C60"/>
      <c r="D60"/>
      <c r="E60"/>
    </row>
    <row r="61" spans="2:14">
      <c r="B61"/>
      <c r="C61"/>
      <c r="D61"/>
      <c r="E61"/>
    </row>
    <row r="62" spans="2:14">
      <c r="B62"/>
      <c r="C62"/>
      <c r="D62"/>
      <c r="E62"/>
    </row>
    <row r="63" spans="2:14">
      <c r="B63"/>
      <c r="C63"/>
      <c r="D63"/>
      <c r="E63"/>
    </row>
    <row r="64" spans="2:14">
      <c r="B64"/>
      <c r="C64"/>
      <c r="D64"/>
      <c r="E64"/>
    </row>
    <row r="65" customFormat="1"/>
    <row r="66" customFormat="1"/>
    <row r="67" customFormat="1"/>
  </sheetData>
  <mergeCells count="1">
    <mergeCell ref="B2:K2"/>
  </mergeCells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7021-2AB8-4A8C-A6F5-E2F497601B6A}">
  <dimension ref="B1:M114"/>
  <sheetViews>
    <sheetView showGridLines="0" zoomScaleNormal="100" workbookViewId="0">
      <selection activeCell="H5" sqref="H5"/>
    </sheetView>
  </sheetViews>
  <sheetFormatPr defaultColWidth="11.42578125" defaultRowHeight="14.45"/>
  <cols>
    <col min="1" max="1" width="5.7109375" customWidth="1"/>
    <col min="2" max="2" width="18.28515625" style="1" bestFit="1" customWidth="1"/>
    <col min="3" max="3" width="14" style="1" bestFit="1" customWidth="1"/>
    <col min="4" max="4" width="17.85546875" style="1" bestFit="1" customWidth="1"/>
    <col min="5" max="5" width="14" style="1" bestFit="1" customWidth="1"/>
    <col min="6" max="6" width="12.7109375" bestFit="1" customWidth="1"/>
    <col min="7" max="7" width="23.140625" bestFit="1" customWidth="1"/>
    <col min="8" max="8" width="15" bestFit="1" customWidth="1"/>
    <col min="9" max="9" width="13.28515625" bestFit="1" customWidth="1"/>
    <col min="10" max="11" width="12.7109375" bestFit="1" customWidth="1"/>
    <col min="12" max="12" width="23.140625" bestFit="1" customWidth="1"/>
    <col min="13" max="13" width="13.7109375" bestFit="1" customWidth="1"/>
    <col min="14" max="14" width="23.140625" bestFit="1" customWidth="1"/>
    <col min="15" max="15" width="13.7109375" bestFit="1" customWidth="1"/>
    <col min="16" max="16" width="13.28515625" bestFit="1" customWidth="1"/>
    <col min="17" max="17" width="13.7109375" bestFit="1" customWidth="1"/>
    <col min="18" max="18" width="11" bestFit="1" customWidth="1"/>
  </cols>
  <sheetData>
    <row r="1" spans="2:11" ht="9.9499999999999993" customHeight="1"/>
    <row r="2" spans="2:11">
      <c r="B2" s="25" t="s">
        <v>17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G3" s="1"/>
      <c r="H3" s="1"/>
      <c r="I3" s="1"/>
      <c r="J3" s="1"/>
    </row>
    <row r="4" spans="2:11">
      <c r="B4" s="22" t="s">
        <v>1</v>
      </c>
      <c r="C4" s="16">
        <v>80000000</v>
      </c>
      <c r="G4" s="19" t="s">
        <v>2</v>
      </c>
      <c r="H4" s="19" t="s">
        <v>3</v>
      </c>
      <c r="I4" s="19" t="s">
        <v>4</v>
      </c>
      <c r="J4" s="19" t="s">
        <v>5</v>
      </c>
      <c r="K4" s="19" t="s">
        <v>6</v>
      </c>
    </row>
    <row r="5" spans="2:11">
      <c r="B5" s="22" t="s">
        <v>7</v>
      </c>
      <c r="C5" s="16">
        <v>10000000</v>
      </c>
      <c r="G5" s="3">
        <v>1</v>
      </c>
      <c r="H5" s="7">
        <v>100000000</v>
      </c>
      <c r="I5" s="7"/>
      <c r="J5" s="7"/>
      <c r="K5" s="7"/>
    </row>
    <row r="6" spans="2:11">
      <c r="B6" s="22" t="s">
        <v>8</v>
      </c>
      <c r="C6" s="2">
        <v>10</v>
      </c>
      <c r="G6" s="3">
        <f t="shared" ref="G6:G14" si="0">G5+1</f>
        <v>2</v>
      </c>
      <c r="H6" s="7">
        <v>100000000</v>
      </c>
      <c r="I6" s="7"/>
      <c r="J6" s="7"/>
      <c r="K6" s="7"/>
    </row>
    <row r="7" spans="2:11">
      <c r="B7" s="4"/>
      <c r="G7" s="3">
        <f t="shared" si="0"/>
        <v>3</v>
      </c>
      <c r="H7" s="7">
        <v>100000000</v>
      </c>
      <c r="I7" s="7"/>
      <c r="J7" s="7"/>
      <c r="K7" s="7"/>
    </row>
    <row r="8" spans="2:11">
      <c r="B8" s="4"/>
      <c r="G8" s="3">
        <f t="shared" si="0"/>
        <v>4</v>
      </c>
      <c r="H8" s="7">
        <v>100000000</v>
      </c>
      <c r="I8" s="7"/>
      <c r="J8" s="7"/>
      <c r="K8" s="7"/>
    </row>
    <row r="9" spans="2:11">
      <c r="B9" s="4"/>
      <c r="G9" s="3">
        <f t="shared" si="0"/>
        <v>5</v>
      </c>
      <c r="H9" s="7">
        <v>100000000</v>
      </c>
      <c r="I9" s="7"/>
      <c r="J9" s="7"/>
      <c r="K9" s="7"/>
    </row>
    <row r="10" spans="2:11">
      <c r="B10" s="4"/>
      <c r="G10" s="3">
        <f t="shared" si="0"/>
        <v>6</v>
      </c>
      <c r="H10" s="7">
        <v>100000000</v>
      </c>
      <c r="I10" s="7"/>
      <c r="J10" s="7"/>
      <c r="K10" s="7"/>
    </row>
    <row r="11" spans="2:11">
      <c r="B11" s="4"/>
      <c r="G11" s="3">
        <f t="shared" si="0"/>
        <v>7</v>
      </c>
      <c r="H11" s="7">
        <v>100000000</v>
      </c>
      <c r="I11" s="7"/>
      <c r="J11" s="7"/>
      <c r="K11" s="7"/>
    </row>
    <row r="12" spans="2:11">
      <c r="G12" s="3">
        <f t="shared" si="0"/>
        <v>8</v>
      </c>
      <c r="H12" s="7">
        <v>100000000</v>
      </c>
      <c r="I12" s="7"/>
      <c r="J12" s="7"/>
      <c r="K12" s="7"/>
    </row>
    <row r="13" spans="2:11">
      <c r="B13" s="19" t="s">
        <v>2</v>
      </c>
      <c r="C13" s="19" t="s">
        <v>9</v>
      </c>
      <c r="D13" s="19" t="s">
        <v>10</v>
      </c>
      <c r="E13" s="19" t="s">
        <v>11</v>
      </c>
      <c r="G13" s="3">
        <f t="shared" si="0"/>
        <v>9</v>
      </c>
      <c r="H13" s="7">
        <v>100000000</v>
      </c>
      <c r="I13" s="7"/>
      <c r="J13" s="7"/>
      <c r="K13" s="7"/>
    </row>
    <row r="14" spans="2:11">
      <c r="B14" s="3">
        <v>0</v>
      </c>
      <c r="C14" s="17"/>
      <c r="D14" s="17"/>
      <c r="E14" s="18"/>
      <c r="G14" s="3">
        <f t="shared" si="0"/>
        <v>10</v>
      </c>
      <c r="H14" s="7">
        <v>100000000</v>
      </c>
      <c r="I14" s="7"/>
      <c r="J14" s="7"/>
      <c r="K14" s="7"/>
    </row>
    <row r="15" spans="2:11">
      <c r="B15" s="3">
        <f>B14+1</f>
        <v>1</v>
      </c>
      <c r="C15" s="18"/>
      <c r="D15" s="18"/>
      <c r="E15" s="18"/>
    </row>
    <row r="16" spans="2:11">
      <c r="B16" s="3">
        <f t="shared" ref="B16:B24" si="1">B15+1</f>
        <v>2</v>
      </c>
      <c r="C16" s="18"/>
      <c r="D16" s="18"/>
      <c r="E16" s="18"/>
      <c r="G16" s="19" t="s">
        <v>12</v>
      </c>
      <c r="H16" s="10">
        <v>0.1</v>
      </c>
      <c r="I16" s="11" t="s">
        <v>13</v>
      </c>
    </row>
    <row r="17" spans="2:13">
      <c r="B17" s="3">
        <f t="shared" si="1"/>
        <v>3</v>
      </c>
      <c r="C17" s="18"/>
      <c r="D17" s="18"/>
      <c r="E17" s="18"/>
      <c r="G17" s="19" t="s">
        <v>14</v>
      </c>
      <c r="H17" s="10">
        <v>0.35</v>
      </c>
      <c r="I17" s="12"/>
    </row>
    <row r="18" spans="2:13">
      <c r="B18" s="3">
        <f t="shared" si="1"/>
        <v>4</v>
      </c>
      <c r="C18" s="18"/>
      <c r="D18" s="18"/>
      <c r="E18" s="18"/>
      <c r="G18" s="1"/>
      <c r="H18" s="1"/>
      <c r="I18" s="1"/>
    </row>
    <row r="19" spans="2:13">
      <c r="B19" s="3">
        <f t="shared" si="1"/>
        <v>5</v>
      </c>
      <c r="C19" s="18"/>
      <c r="D19" s="18"/>
      <c r="E19" s="18"/>
      <c r="G19" s="19" t="s">
        <v>15</v>
      </c>
      <c r="H19" s="7"/>
      <c r="I19" s="1"/>
    </row>
    <row r="20" spans="2:13">
      <c r="B20" s="3">
        <f t="shared" si="1"/>
        <v>6</v>
      </c>
      <c r="C20" s="18"/>
      <c r="D20" s="18"/>
      <c r="E20" s="18"/>
      <c r="G20" s="19" t="s">
        <v>16</v>
      </c>
      <c r="H20" s="7"/>
      <c r="I20" s="1"/>
    </row>
    <row r="21" spans="2:13">
      <c r="B21" s="3">
        <f t="shared" si="1"/>
        <v>7</v>
      </c>
      <c r="C21" s="18"/>
      <c r="D21" s="18"/>
      <c r="E21" s="18"/>
    </row>
    <row r="22" spans="2:13">
      <c r="B22" s="3">
        <f t="shared" si="1"/>
        <v>8</v>
      </c>
      <c r="C22" s="18"/>
      <c r="D22" s="18"/>
      <c r="E22" s="18"/>
    </row>
    <row r="23" spans="2:13">
      <c r="B23" s="3">
        <f t="shared" si="1"/>
        <v>9</v>
      </c>
      <c r="C23" s="18"/>
      <c r="D23" s="18"/>
      <c r="E23" s="18"/>
    </row>
    <row r="24" spans="2:13">
      <c r="B24" s="3">
        <f t="shared" si="1"/>
        <v>10</v>
      </c>
      <c r="C24" s="18"/>
      <c r="D24" s="18"/>
      <c r="E24" s="18"/>
    </row>
    <row r="26" spans="2:13">
      <c r="B26"/>
      <c r="C26"/>
      <c r="D26"/>
      <c r="E26"/>
      <c r="M26" s="14"/>
    </row>
    <row r="27" spans="2:13">
      <c r="B27"/>
      <c r="C27"/>
      <c r="D27"/>
      <c r="E27"/>
    </row>
    <row r="28" spans="2:13">
      <c r="B28"/>
      <c r="C28"/>
      <c r="D28"/>
      <c r="E28"/>
    </row>
    <row r="29" spans="2:13">
      <c r="B29"/>
      <c r="C29"/>
      <c r="D29"/>
      <c r="E29"/>
    </row>
    <row r="30" spans="2:13">
      <c r="B30"/>
      <c r="C30"/>
      <c r="D30"/>
      <c r="E30"/>
    </row>
    <row r="31" spans="2:13">
      <c r="B31"/>
      <c r="C31"/>
      <c r="D31"/>
      <c r="E31"/>
    </row>
    <row r="32" spans="2:13">
      <c r="B32"/>
      <c r="C32"/>
      <c r="D32"/>
      <c r="E32"/>
    </row>
    <row r="33" spans="2:10">
      <c r="B33"/>
      <c r="C33"/>
      <c r="D33"/>
      <c r="E33"/>
    </row>
    <row r="34" spans="2:10" ht="15" customHeight="1">
      <c r="B34"/>
      <c r="C34"/>
      <c r="D34"/>
      <c r="E34"/>
    </row>
    <row r="35" spans="2:10">
      <c r="B35"/>
      <c r="C35"/>
      <c r="D35"/>
      <c r="E35"/>
    </row>
    <row r="36" spans="2:10">
      <c r="B36"/>
      <c r="C36"/>
      <c r="D36"/>
      <c r="E36"/>
    </row>
    <row r="37" spans="2:10">
      <c r="B37"/>
      <c r="C37"/>
      <c r="D37"/>
      <c r="E37"/>
    </row>
    <row r="38" spans="2:10">
      <c r="B38"/>
      <c r="C38"/>
      <c r="D38"/>
      <c r="E38"/>
    </row>
    <row r="39" spans="2:10">
      <c r="B39"/>
      <c r="C39"/>
      <c r="D39"/>
      <c r="E39"/>
    </row>
    <row r="40" spans="2:10">
      <c r="B40"/>
      <c r="C40"/>
      <c r="D40"/>
      <c r="E40"/>
    </row>
    <row r="41" spans="2:10">
      <c r="B41"/>
      <c r="C41"/>
      <c r="D41"/>
      <c r="E41"/>
    </row>
    <row r="42" spans="2:10">
      <c r="B42"/>
      <c r="C42"/>
      <c r="D42"/>
      <c r="E42"/>
    </row>
    <row r="43" spans="2:10">
      <c r="B43"/>
      <c r="C43"/>
      <c r="D43"/>
      <c r="E43"/>
    </row>
    <row r="44" spans="2:10">
      <c r="B44"/>
      <c r="C44"/>
      <c r="D44"/>
      <c r="E44"/>
    </row>
    <row r="45" spans="2:10">
      <c r="B45"/>
      <c r="C45"/>
    </row>
    <row r="46" spans="2:10">
      <c r="B46"/>
      <c r="C46"/>
    </row>
    <row r="48" spans="2:10">
      <c r="H48" s="8"/>
      <c r="I48" s="15"/>
      <c r="J48" s="15"/>
    </row>
    <row r="49" spans="2:13">
      <c r="B49"/>
      <c r="C49"/>
      <c r="D49"/>
      <c r="E49"/>
    </row>
    <row r="50" spans="2:13">
      <c r="B50"/>
      <c r="C50"/>
      <c r="D50"/>
      <c r="E50"/>
    </row>
    <row r="51" spans="2:13">
      <c r="B51"/>
      <c r="C51"/>
      <c r="D51"/>
      <c r="E51"/>
    </row>
    <row r="52" spans="2:13">
      <c r="B52"/>
      <c r="C52"/>
      <c r="D52"/>
      <c r="E52"/>
    </row>
    <row r="54" spans="2:13">
      <c r="B54"/>
      <c r="C54"/>
      <c r="D54"/>
      <c r="E54"/>
    </row>
    <row r="55" spans="2:13">
      <c r="B55"/>
      <c r="C55"/>
      <c r="D55"/>
      <c r="E55"/>
    </row>
    <row r="56" spans="2:13">
      <c r="B56"/>
      <c r="C56"/>
      <c r="D56"/>
      <c r="E56"/>
    </row>
    <row r="57" spans="2:13">
      <c r="B57"/>
      <c r="C57"/>
      <c r="D57"/>
      <c r="E57"/>
      <c r="K57" s="9"/>
      <c r="L57" s="9"/>
      <c r="M57" s="9"/>
    </row>
    <row r="58" spans="2:13">
      <c r="B58"/>
      <c r="C58"/>
      <c r="D58"/>
      <c r="E58"/>
      <c r="K58" s="9"/>
      <c r="L58" s="9"/>
      <c r="M58" s="9"/>
    </row>
    <row r="59" spans="2:13">
      <c r="B59"/>
      <c r="C59"/>
      <c r="D59"/>
      <c r="E59"/>
    </row>
    <row r="60" spans="2:13">
      <c r="B60"/>
      <c r="C60"/>
      <c r="D60"/>
      <c r="E60"/>
    </row>
    <row r="61" spans="2:13">
      <c r="B61"/>
      <c r="C61"/>
      <c r="D61"/>
      <c r="E61"/>
    </row>
    <row r="62" spans="2:13">
      <c r="B62"/>
      <c r="C62"/>
      <c r="D62"/>
      <c r="E62"/>
    </row>
    <row r="63" spans="2:13">
      <c r="B63"/>
      <c r="C63"/>
      <c r="D63"/>
      <c r="E63"/>
    </row>
    <row r="64" spans="2:13">
      <c r="B64"/>
      <c r="C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</sheetData>
  <mergeCells count="1"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E17F-B329-40A2-84CA-766C50944150}">
  <dimension ref="B1:M73"/>
  <sheetViews>
    <sheetView showGridLines="0" workbookViewId="0">
      <selection activeCell="G16" sqref="G16"/>
    </sheetView>
  </sheetViews>
  <sheetFormatPr defaultColWidth="11.42578125" defaultRowHeight="16.5" customHeight="1"/>
  <cols>
    <col min="1" max="1" width="5.7109375" customWidth="1"/>
    <col min="2" max="2" width="20.85546875" style="1" bestFit="1" customWidth="1"/>
    <col min="3" max="3" width="13.5703125" style="1" bestFit="1" customWidth="1"/>
    <col min="4" max="4" width="14" style="1" bestFit="1" customWidth="1"/>
    <col min="5" max="5" width="17.85546875" bestFit="1" customWidth="1"/>
    <col min="6" max="6" width="14" bestFit="1" customWidth="1"/>
    <col min="7" max="7" width="23.140625" bestFit="1" customWidth="1"/>
    <col min="8" max="8" width="24.85546875" bestFit="1" customWidth="1"/>
    <col min="9" max="9" width="15" bestFit="1" customWidth="1"/>
    <col min="10" max="10" width="13.28515625" bestFit="1" customWidth="1"/>
    <col min="11" max="12" width="12.7109375" bestFit="1" customWidth="1"/>
    <col min="13" max="13" width="23.140625" bestFit="1" customWidth="1"/>
    <col min="14" max="14" width="14.28515625" bestFit="1" customWidth="1"/>
    <col min="15" max="15" width="17.85546875" bestFit="1" customWidth="1"/>
    <col min="16" max="16" width="14.28515625" bestFit="1" customWidth="1"/>
    <col min="17" max="17" width="12.7109375" bestFit="1" customWidth="1"/>
  </cols>
  <sheetData>
    <row r="1" spans="2:12" ht="9.9499999999999993" customHeight="1"/>
    <row r="2" spans="2:12" ht="15">
      <c r="B2" s="25" t="s">
        <v>18</v>
      </c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2:12">
      <c r="E3" s="1"/>
      <c r="H3" s="1"/>
      <c r="I3" s="1"/>
      <c r="J3" s="1"/>
      <c r="K3" s="1"/>
    </row>
    <row r="4" spans="2:12">
      <c r="B4" s="22" t="s">
        <v>1</v>
      </c>
      <c r="C4" s="16">
        <v>80000000</v>
      </c>
      <c r="E4" s="1"/>
      <c r="H4" s="19" t="s">
        <v>2</v>
      </c>
      <c r="I4" s="19" t="s">
        <v>3</v>
      </c>
      <c r="J4" s="19" t="s">
        <v>4</v>
      </c>
      <c r="K4" s="19" t="s">
        <v>5</v>
      </c>
      <c r="L4" s="19" t="s">
        <v>6</v>
      </c>
    </row>
    <row r="5" spans="2:12">
      <c r="B5" s="22" t="s">
        <v>7</v>
      </c>
      <c r="C5" s="16">
        <v>10000000</v>
      </c>
      <c r="E5" s="1"/>
      <c r="H5" s="3">
        <v>1</v>
      </c>
      <c r="I5" s="7">
        <v>100000000</v>
      </c>
      <c r="J5" s="7"/>
      <c r="K5" s="7"/>
      <c r="L5" s="7"/>
    </row>
    <row r="6" spans="2:12">
      <c r="B6" s="22" t="s">
        <v>8</v>
      </c>
      <c r="C6" s="2">
        <v>10</v>
      </c>
      <c r="E6" s="1"/>
      <c r="H6" s="3">
        <f t="shared" ref="H6:H14" si="0">H5+1</f>
        <v>2</v>
      </c>
      <c r="I6" s="7">
        <v>100000000</v>
      </c>
      <c r="J6" s="7"/>
      <c r="K6" s="7"/>
      <c r="L6" s="7"/>
    </row>
    <row r="7" spans="2:12">
      <c r="B7" s="4"/>
      <c r="C7" s="4"/>
      <c r="E7" s="1"/>
      <c r="H7" s="3">
        <f t="shared" si="0"/>
        <v>3</v>
      </c>
      <c r="I7" s="7">
        <v>100000000</v>
      </c>
      <c r="J7" s="7"/>
      <c r="K7" s="7"/>
      <c r="L7" s="7"/>
    </row>
    <row r="8" spans="2:12">
      <c r="B8" s="4"/>
      <c r="C8" s="4"/>
      <c r="E8" s="1"/>
      <c r="H8" s="3">
        <f t="shared" si="0"/>
        <v>4</v>
      </c>
      <c r="I8" s="7">
        <v>100000000</v>
      </c>
      <c r="J8" s="7"/>
      <c r="K8" s="7"/>
      <c r="L8" s="7"/>
    </row>
    <row r="9" spans="2:12">
      <c r="B9" s="4"/>
      <c r="C9" s="4"/>
      <c r="E9" s="1"/>
      <c r="H9" s="3">
        <f t="shared" si="0"/>
        <v>5</v>
      </c>
      <c r="I9" s="7">
        <v>100000000</v>
      </c>
      <c r="J9" s="7"/>
      <c r="K9" s="7"/>
      <c r="L9" s="7"/>
    </row>
    <row r="10" spans="2:12">
      <c r="B10" s="4"/>
      <c r="C10" s="4"/>
      <c r="E10" s="1"/>
      <c r="H10" s="3">
        <f t="shared" si="0"/>
        <v>6</v>
      </c>
      <c r="I10" s="7">
        <v>100000000</v>
      </c>
      <c r="J10" s="7"/>
      <c r="K10" s="7"/>
      <c r="L10" s="7"/>
    </row>
    <row r="11" spans="2:12">
      <c r="B11" s="4"/>
      <c r="C11" s="4"/>
      <c r="E11" s="1"/>
      <c r="H11" s="3">
        <f t="shared" si="0"/>
        <v>7</v>
      </c>
      <c r="I11" s="7">
        <v>100000000</v>
      </c>
      <c r="J11" s="7"/>
      <c r="K11" s="7"/>
      <c r="L11" s="7"/>
    </row>
    <row r="12" spans="2:12">
      <c r="E12" s="1"/>
      <c r="H12" s="3">
        <f t="shared" si="0"/>
        <v>8</v>
      </c>
      <c r="I12" s="7">
        <v>100000000</v>
      </c>
      <c r="J12" s="7"/>
      <c r="K12" s="7"/>
      <c r="L12" s="7"/>
    </row>
    <row r="13" spans="2:12">
      <c r="B13" s="19" t="s">
        <v>2</v>
      </c>
      <c r="C13" s="19" t="s">
        <v>19</v>
      </c>
      <c r="D13" s="19" t="s">
        <v>9</v>
      </c>
      <c r="E13" s="19" t="s">
        <v>10</v>
      </c>
      <c r="F13" s="19" t="s">
        <v>11</v>
      </c>
      <c r="H13" s="3">
        <f>H12+1</f>
        <v>9</v>
      </c>
      <c r="I13" s="7">
        <v>100000000</v>
      </c>
      <c r="J13" s="7"/>
      <c r="K13" s="7"/>
      <c r="L13" s="7"/>
    </row>
    <row r="14" spans="2:12">
      <c r="B14" s="3">
        <v>0</v>
      </c>
      <c r="C14" s="5"/>
      <c r="D14" s="17"/>
      <c r="E14" s="17"/>
      <c r="F14" s="18"/>
      <c r="H14" s="3">
        <f t="shared" si="0"/>
        <v>10</v>
      </c>
      <c r="I14" s="7">
        <v>100000000</v>
      </c>
      <c r="J14" s="7"/>
      <c r="K14" s="7"/>
      <c r="L14" s="7"/>
    </row>
    <row r="15" spans="2:12">
      <c r="B15" s="3">
        <f>B14+1</f>
        <v>1</v>
      </c>
      <c r="C15" s="23">
        <v>600</v>
      </c>
      <c r="D15" s="18"/>
      <c r="E15" s="18"/>
      <c r="F15" s="18"/>
    </row>
    <row r="16" spans="2:12">
      <c r="B16" s="3">
        <f t="shared" ref="B16:B24" si="1">B15+1</f>
        <v>2</v>
      </c>
      <c r="C16" s="23">
        <v>1200</v>
      </c>
      <c r="D16" s="18"/>
      <c r="E16" s="18"/>
      <c r="F16" s="18"/>
      <c r="H16" s="19" t="s">
        <v>12</v>
      </c>
      <c r="I16" s="10">
        <v>0.1</v>
      </c>
      <c r="J16" s="11" t="s">
        <v>13</v>
      </c>
    </row>
    <row r="17" spans="2:12">
      <c r="B17" s="3">
        <f t="shared" si="1"/>
        <v>3</v>
      </c>
      <c r="C17" s="23">
        <v>2400</v>
      </c>
      <c r="D17" s="18"/>
      <c r="E17" s="18"/>
      <c r="F17" s="18"/>
      <c r="H17" s="19" t="s">
        <v>14</v>
      </c>
      <c r="I17" s="10">
        <v>0.35</v>
      </c>
      <c r="J17" s="12"/>
    </row>
    <row r="18" spans="2:12">
      <c r="B18" s="3">
        <f t="shared" si="1"/>
        <v>4</v>
      </c>
      <c r="C18" s="23">
        <v>2800</v>
      </c>
      <c r="D18" s="18"/>
      <c r="E18" s="18"/>
      <c r="F18" s="18"/>
      <c r="H18" s="1"/>
      <c r="I18" s="1"/>
      <c r="J18" s="1"/>
    </row>
    <row r="19" spans="2:12">
      <c r="B19" s="3">
        <f t="shared" si="1"/>
        <v>5</v>
      </c>
      <c r="C19" s="23">
        <v>3000</v>
      </c>
      <c r="D19" s="18"/>
      <c r="E19" s="18"/>
      <c r="F19" s="18"/>
      <c r="H19" s="19" t="s">
        <v>15</v>
      </c>
      <c r="I19" s="7"/>
      <c r="J19" s="1"/>
    </row>
    <row r="20" spans="2:12">
      <c r="B20" s="3">
        <f t="shared" si="1"/>
        <v>6</v>
      </c>
      <c r="C20" s="23">
        <v>3000</v>
      </c>
      <c r="D20" s="18"/>
      <c r="E20" s="18"/>
      <c r="F20" s="18"/>
      <c r="H20" s="19" t="s">
        <v>16</v>
      </c>
      <c r="I20" s="7"/>
      <c r="J20" s="1"/>
    </row>
    <row r="21" spans="2:12">
      <c r="B21" s="3">
        <f t="shared" si="1"/>
        <v>7</v>
      </c>
      <c r="C21" s="23">
        <v>2800</v>
      </c>
      <c r="D21" s="18"/>
      <c r="E21" s="18"/>
      <c r="F21" s="18"/>
    </row>
    <row r="22" spans="2:12">
      <c r="B22" s="3">
        <f t="shared" si="1"/>
        <v>8</v>
      </c>
      <c r="C22" s="23">
        <v>2400</v>
      </c>
      <c r="D22" s="18"/>
      <c r="E22" s="18"/>
      <c r="F22" s="18"/>
    </row>
    <row r="23" spans="2:12">
      <c r="B23" s="3">
        <f t="shared" si="1"/>
        <v>9</v>
      </c>
      <c r="C23" s="23">
        <v>1200</v>
      </c>
      <c r="D23" s="18"/>
      <c r="E23" s="18"/>
      <c r="F23" s="18"/>
    </row>
    <row r="24" spans="2:12">
      <c r="B24" s="3">
        <f t="shared" si="1"/>
        <v>10</v>
      </c>
      <c r="C24" s="23">
        <v>600</v>
      </c>
      <c r="D24" s="18"/>
      <c r="E24" s="18"/>
      <c r="F24" s="18"/>
    </row>
    <row r="25" spans="2:12" ht="15">
      <c r="B25" s="19" t="s">
        <v>20</v>
      </c>
      <c r="C25" s="24">
        <f>SUM(C15:C24)</f>
        <v>20000</v>
      </c>
      <c r="D25"/>
    </row>
    <row r="26" spans="2:12" ht="15">
      <c r="B26"/>
      <c r="C26"/>
      <c r="D26"/>
      <c r="L26" s="14"/>
    </row>
    <row r="27" spans="2:12" ht="15">
      <c r="B27"/>
      <c r="C27"/>
      <c r="D27"/>
    </row>
    <row r="28" spans="2:12" ht="15">
      <c r="B28"/>
      <c r="C28"/>
      <c r="D28"/>
    </row>
    <row r="29" spans="2:12" ht="15">
      <c r="B29"/>
      <c r="C29"/>
      <c r="D29"/>
    </row>
    <row r="30" spans="2:12" ht="15">
      <c r="B30"/>
      <c r="C30"/>
      <c r="D30"/>
    </row>
    <row r="31" spans="2:12" ht="15">
      <c r="B31"/>
      <c r="C31"/>
      <c r="D31"/>
    </row>
    <row r="32" spans="2:12" ht="15">
      <c r="B32"/>
      <c r="C32"/>
      <c r="D32"/>
    </row>
    <row r="33" customFormat="1" ht="15"/>
    <row r="34" customFormat="1" ht="15" customHeight="1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  <row r="42" customFormat="1" ht="15"/>
    <row r="43" customFormat="1" ht="15"/>
    <row r="44" customFormat="1" ht="15"/>
    <row r="45" customFormat="1" ht="15"/>
    <row r="46" customFormat="1" ht="15"/>
    <row r="47" customFormat="1" ht="15"/>
    <row r="48" customFormat="1" ht="15"/>
    <row r="49" spans="2:13" ht="15">
      <c r="B49"/>
      <c r="C49"/>
      <c r="D49"/>
    </row>
    <row r="50" spans="2:13" ht="15">
      <c r="B50"/>
      <c r="C50"/>
      <c r="D50"/>
    </row>
    <row r="51" spans="2:13" ht="15">
      <c r="B51"/>
      <c r="C51"/>
      <c r="D51"/>
    </row>
    <row r="52" spans="2:13" ht="15">
      <c r="B52"/>
      <c r="C52"/>
      <c r="D52"/>
    </row>
    <row r="53" spans="2:13" ht="15">
      <c r="B53"/>
      <c r="C53"/>
      <c r="D53"/>
    </row>
    <row r="54" spans="2:13" ht="15">
      <c r="B54"/>
      <c r="C54"/>
      <c r="D54"/>
    </row>
    <row r="55" spans="2:13" ht="15">
      <c r="B55"/>
      <c r="C55"/>
      <c r="D55"/>
    </row>
    <row r="56" spans="2:13" ht="15">
      <c r="B56"/>
      <c r="C56"/>
      <c r="D56"/>
      <c r="M56" s="9"/>
    </row>
    <row r="57" spans="2:13" ht="15">
      <c r="B57"/>
      <c r="C57"/>
      <c r="D57"/>
      <c r="J57" s="9"/>
      <c r="K57" s="9"/>
      <c r="L57" s="9"/>
      <c r="M57" s="9"/>
    </row>
    <row r="58" spans="2:13" ht="15">
      <c r="B58"/>
      <c r="C58"/>
      <c r="D58"/>
      <c r="J58" s="9"/>
      <c r="K58" s="9"/>
      <c r="L58" s="9"/>
      <c r="M58" s="9"/>
    </row>
    <row r="59" spans="2:13" ht="15">
      <c r="B59"/>
      <c r="C59"/>
      <c r="D59"/>
    </row>
    <row r="60" spans="2:13" ht="15">
      <c r="B60"/>
      <c r="C60"/>
      <c r="D60"/>
    </row>
    <row r="61" spans="2:13" ht="15">
      <c r="B61"/>
      <c r="C61"/>
      <c r="D61"/>
    </row>
    <row r="62" spans="2:13" ht="15">
      <c r="B62"/>
      <c r="C62"/>
      <c r="D62"/>
    </row>
    <row r="63" spans="2:13" ht="15">
      <c r="B63"/>
      <c r="C63"/>
      <c r="D63"/>
    </row>
    <row r="64" spans="2:13" ht="15">
      <c r="B64"/>
      <c r="C64"/>
      <c r="D64"/>
    </row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</sheetData>
  <mergeCells count="1">
    <mergeCell ref="B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CD5B-5EFC-416A-84F2-5682BBE3EF93}">
  <dimension ref="B2:N20"/>
  <sheetViews>
    <sheetView showGridLines="0" tabSelected="1" workbookViewId="0">
      <selection activeCell="D23" sqref="D23"/>
    </sheetView>
  </sheetViews>
  <sheetFormatPr defaultColWidth="11.42578125" defaultRowHeight="14.45"/>
  <cols>
    <col min="1" max="1" width="5.7109375" customWidth="1"/>
    <col min="2" max="2" width="44.28515625" style="1" bestFit="1" customWidth="1"/>
    <col min="3" max="3" width="17.140625" style="1" bestFit="1" customWidth="1"/>
    <col min="4" max="4" width="14.85546875" style="1" bestFit="1" customWidth="1"/>
    <col min="5" max="5" width="12.7109375" style="1" bestFit="1" customWidth="1"/>
    <col min="6" max="6" width="12.7109375" bestFit="1" customWidth="1"/>
    <col min="7" max="7" width="18.28515625" bestFit="1" customWidth="1"/>
    <col min="8" max="8" width="23.140625" bestFit="1" customWidth="1"/>
    <col min="9" max="9" width="17.85546875" bestFit="1" customWidth="1"/>
    <col min="10" max="10" width="14.28515625" bestFit="1" customWidth="1"/>
    <col min="11" max="11" width="13.7109375" bestFit="1" customWidth="1"/>
    <col min="12" max="12" width="20.85546875" bestFit="1" customWidth="1"/>
    <col min="13" max="13" width="14.28515625" bestFit="1" customWidth="1"/>
    <col min="14" max="14" width="23.140625" bestFit="1" customWidth="1"/>
    <col min="15" max="15" width="14.28515625" bestFit="1" customWidth="1"/>
    <col min="16" max="16" width="17.85546875" bestFit="1" customWidth="1"/>
    <col min="17" max="17" width="14.28515625" bestFit="1" customWidth="1"/>
    <col min="18" max="18" width="12.7109375" bestFit="1" customWidth="1"/>
  </cols>
  <sheetData>
    <row r="2" spans="2:14">
      <c r="H2" s="8"/>
      <c r="I2" s="15"/>
      <c r="J2" s="15"/>
    </row>
    <row r="3" spans="2:14">
      <c r="B3" s="19" t="s">
        <v>21</v>
      </c>
      <c r="C3" s="19" t="s">
        <v>16</v>
      </c>
      <c r="D3" s="19" t="s">
        <v>15</v>
      </c>
      <c r="G3" s="26" t="s">
        <v>22</v>
      </c>
      <c r="H3" s="26"/>
      <c r="I3" s="26"/>
      <c r="J3" s="26"/>
      <c r="K3" s="26"/>
    </row>
    <row r="4" spans="2:14">
      <c r="B4" s="3" t="s">
        <v>23</v>
      </c>
      <c r="C4" s="7">
        <f>'Línea Recta'!H20</f>
        <v>0</v>
      </c>
      <c r="D4" s="7">
        <f>'Línea Recta'!H19</f>
        <v>0</v>
      </c>
      <c r="G4" s="26"/>
      <c r="H4" s="26"/>
      <c r="I4" s="26"/>
      <c r="J4" s="26"/>
      <c r="K4" s="26"/>
    </row>
    <row r="5" spans="2:14">
      <c r="B5" s="3" t="s">
        <v>24</v>
      </c>
      <c r="C5" s="7">
        <f>'Reducción de Saldos'!H20</f>
        <v>0</v>
      </c>
      <c r="D5" s="7">
        <f>'Reducción de Saldos'!H19</f>
        <v>0</v>
      </c>
      <c r="G5" s="26"/>
      <c r="H5" s="26"/>
      <c r="I5" s="26"/>
      <c r="J5" s="26"/>
      <c r="K5" s="26"/>
    </row>
    <row r="6" spans="2:14">
      <c r="B6" s="3" t="s">
        <v>25</v>
      </c>
      <c r="C6" s="13">
        <f>'Unidades Productivas'!I20</f>
        <v>0</v>
      </c>
      <c r="D6" s="13">
        <f>'Unidades Productivas'!I19</f>
        <v>0</v>
      </c>
      <c r="H6" s="8"/>
      <c r="I6" s="15"/>
      <c r="J6" s="15"/>
    </row>
    <row r="8" spans="2:14">
      <c r="B8" s="21" t="s">
        <v>26</v>
      </c>
    </row>
    <row r="10" spans="2:14" ht="27.6">
      <c r="B10" s="20" t="s">
        <v>2</v>
      </c>
      <c r="C10" s="20" t="s">
        <v>23</v>
      </c>
      <c r="D10" s="20" t="s">
        <v>24</v>
      </c>
      <c r="E10" s="20" t="s">
        <v>25</v>
      </c>
      <c r="N10" s="9"/>
    </row>
    <row r="11" spans="2:14">
      <c r="B11" s="3">
        <v>1</v>
      </c>
      <c r="C11" s="7">
        <f>'Línea Recta'!C15</f>
        <v>0</v>
      </c>
      <c r="D11" s="7">
        <f>'Reducción de Saldos'!C15</f>
        <v>0</v>
      </c>
      <c r="E11" s="7">
        <f>'Unidades Productivas'!D15</f>
        <v>0</v>
      </c>
      <c r="K11" s="9"/>
      <c r="L11" s="9"/>
      <c r="M11" s="9"/>
      <c r="N11" s="9"/>
    </row>
    <row r="12" spans="2:14">
      <c r="B12" s="3">
        <f t="shared" ref="B12:B20" si="0">B11+1</f>
        <v>2</v>
      </c>
      <c r="C12" s="7">
        <f>'Línea Recta'!C16</f>
        <v>0</v>
      </c>
      <c r="D12" s="7">
        <f>'Reducción de Saldos'!C16</f>
        <v>0</v>
      </c>
      <c r="E12" s="7">
        <f>'Unidades Productivas'!D16</f>
        <v>0</v>
      </c>
      <c r="K12" s="9"/>
      <c r="L12" s="9"/>
      <c r="M12" s="9"/>
      <c r="N12" s="9"/>
    </row>
    <row r="13" spans="2:14">
      <c r="B13" s="3">
        <f t="shared" si="0"/>
        <v>3</v>
      </c>
      <c r="C13" s="7">
        <f>'Línea Recta'!C17</f>
        <v>0</v>
      </c>
      <c r="D13" s="7">
        <f>'Reducción de Saldos'!C17</f>
        <v>0</v>
      </c>
      <c r="E13" s="7">
        <f>'Unidades Productivas'!D17</f>
        <v>0</v>
      </c>
    </row>
    <row r="14" spans="2:14">
      <c r="B14" s="3">
        <f t="shared" si="0"/>
        <v>4</v>
      </c>
      <c r="C14" s="7">
        <f>'Línea Recta'!C18</f>
        <v>0</v>
      </c>
      <c r="D14" s="7">
        <f>'Reducción de Saldos'!C18</f>
        <v>0</v>
      </c>
      <c r="E14" s="7">
        <f>'Unidades Productivas'!D18</f>
        <v>0</v>
      </c>
    </row>
    <row r="15" spans="2:14">
      <c r="B15" s="3">
        <f t="shared" si="0"/>
        <v>5</v>
      </c>
      <c r="C15" s="7">
        <f>'Línea Recta'!C19</f>
        <v>0</v>
      </c>
      <c r="D15" s="7">
        <f>'Reducción de Saldos'!C19</f>
        <v>0</v>
      </c>
      <c r="E15" s="7">
        <f>'Unidades Productivas'!D19</f>
        <v>0</v>
      </c>
    </row>
    <row r="16" spans="2:14">
      <c r="B16" s="3">
        <f t="shared" si="0"/>
        <v>6</v>
      </c>
      <c r="C16" s="7">
        <f>'Línea Recta'!C20</f>
        <v>0</v>
      </c>
      <c r="D16" s="7">
        <f>'Reducción de Saldos'!C20</f>
        <v>0</v>
      </c>
      <c r="E16" s="7">
        <f>'Unidades Productivas'!D20</f>
        <v>0</v>
      </c>
    </row>
    <row r="17" spans="2:5">
      <c r="B17" s="3">
        <f t="shared" si="0"/>
        <v>7</v>
      </c>
      <c r="C17" s="7">
        <f>'Línea Recta'!C21</f>
        <v>0</v>
      </c>
      <c r="D17" s="7">
        <f>'Reducción de Saldos'!C21</f>
        <v>0</v>
      </c>
      <c r="E17" s="7">
        <f>'Unidades Productivas'!D21</f>
        <v>0</v>
      </c>
    </row>
    <row r="18" spans="2:5">
      <c r="B18" s="3">
        <f t="shared" si="0"/>
        <v>8</v>
      </c>
      <c r="C18" s="7">
        <f>'Línea Recta'!C22</f>
        <v>0</v>
      </c>
      <c r="D18" s="7">
        <f>'Reducción de Saldos'!C22</f>
        <v>0</v>
      </c>
      <c r="E18" s="7">
        <f>'Unidades Productivas'!D22</f>
        <v>0</v>
      </c>
    </row>
    <row r="19" spans="2:5">
      <c r="B19" s="3">
        <f t="shared" si="0"/>
        <v>9</v>
      </c>
      <c r="C19" s="7">
        <f>'Línea Recta'!C23</f>
        <v>0</v>
      </c>
      <c r="D19" s="7">
        <f>'Reducción de Saldos'!C23</f>
        <v>0</v>
      </c>
      <c r="E19" s="7">
        <f>'Unidades Productivas'!D23</f>
        <v>0</v>
      </c>
    </row>
    <row r="20" spans="2:5">
      <c r="B20" s="3">
        <f t="shared" si="0"/>
        <v>10</v>
      </c>
      <c r="C20" s="7">
        <f>'Línea Recta'!C24</f>
        <v>0</v>
      </c>
      <c r="D20" s="7">
        <f>'Reducción de Saldos'!C24</f>
        <v>0</v>
      </c>
      <c r="E20" s="7">
        <f>'Unidades Productivas'!D24</f>
        <v>0</v>
      </c>
    </row>
  </sheetData>
  <mergeCells count="1">
    <mergeCell ref="G3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Pedro Ruiz Vasquez</cp:lastModifiedBy>
  <cp:revision/>
  <dcterms:created xsi:type="dcterms:W3CDTF">2020-03-24T12:02:23Z</dcterms:created>
  <dcterms:modified xsi:type="dcterms:W3CDTF">2026-02-22T23:33:20Z</dcterms:modified>
  <cp:category/>
  <cp:contentStatus/>
</cp:coreProperties>
</file>