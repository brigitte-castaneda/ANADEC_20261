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166925"/>
  <mc:AlternateContent xmlns:mc="http://schemas.openxmlformats.org/markup-compatibility/2006">
    <mc:Choice Requires="x15">
      <x15ac:absPath xmlns:x15ac="http://schemas.microsoft.com/office/spreadsheetml/2010/11/ac" url="https://uniandes-my.sharepoint.com/personal/cursoanadec_uniandes_edu_co/Documents/ANADEC/ANADEC 2026-10/4. Presentaciones/5. Módulo 5 - Flujo de Caja Libre/"/>
    </mc:Choice>
  </mc:AlternateContent>
  <xr:revisionPtr revIDLastSave="93" documentId="13_ncr:1_{CBD5A44B-E84B-404A-876A-0D3E107E48AA}" xr6:coauthVersionLast="47" xr6:coauthVersionMax="47" xr10:uidLastSave="{0A5EB004-F08A-1747-80BB-CB6A778EDC36}"/>
  <bookViews>
    <workbookView xWindow="0" yWindow="760" windowWidth="38400" windowHeight="24100" xr2:uid="{00000000-000D-0000-FFFF-FFFF00000000}"/>
  </bookViews>
  <sheets>
    <sheet name="FC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 r="I18" i="1"/>
  <c r="F18" i="1" s="1"/>
  <c r="G16" i="1"/>
  <c r="H16" i="1"/>
  <c r="I16" i="1"/>
  <c r="J16" i="1"/>
  <c r="K16" i="1"/>
  <c r="F16" i="1"/>
  <c r="F12" i="1"/>
  <c r="K15" i="1"/>
  <c r="H14" i="1"/>
  <c r="I14" i="1"/>
  <c r="J14" i="1"/>
  <c r="K14" i="1"/>
  <c r="G14" i="1"/>
  <c r="H12" i="1"/>
  <c r="I12" i="1"/>
  <c r="J12" i="1"/>
  <c r="K12" i="1"/>
  <c r="G12" i="1"/>
  <c r="G26" i="1"/>
  <c r="H26" i="1"/>
  <c r="I26" i="1"/>
  <c r="J26" i="1"/>
  <c r="K26" i="1"/>
  <c r="F26" i="1"/>
  <c r="H11" i="1"/>
  <c r="I11" i="1"/>
  <c r="J11" i="1"/>
  <c r="K11" i="1"/>
  <c r="G11" i="1"/>
  <c r="H10" i="1"/>
  <c r="I10" i="1"/>
  <c r="J10" i="1"/>
  <c r="K10" i="1"/>
  <c r="G10" i="1"/>
  <c r="H9" i="1"/>
  <c r="I9" i="1"/>
  <c r="J9" i="1"/>
  <c r="K9" i="1"/>
  <c r="G9" i="1"/>
  <c r="H8" i="1"/>
  <c r="I8" i="1"/>
  <c r="J8" i="1"/>
  <c r="K8" i="1"/>
  <c r="G8" i="1"/>
  <c r="H6" i="1"/>
  <c r="I6" i="1"/>
  <c r="J6" i="1"/>
  <c r="K6" i="1"/>
  <c r="G6" i="1"/>
  <c r="H25" i="1"/>
  <c r="I25" i="1"/>
  <c r="J25" i="1"/>
  <c r="K25" i="1"/>
  <c r="G25" i="1"/>
  <c r="H23" i="1" l="1"/>
  <c r="I23" i="1"/>
  <c r="J23" i="1"/>
  <c r="K23" i="1"/>
  <c r="G23" i="1"/>
  <c r="H24" i="1"/>
  <c r="I24" i="1" s="1"/>
  <c r="J24" i="1" s="1"/>
  <c r="K24" i="1" s="1"/>
  <c r="G24" i="1"/>
  <c r="H5" i="1"/>
  <c r="I5" i="1"/>
  <c r="J5" i="1"/>
  <c r="K5" i="1"/>
  <c r="G5" i="1"/>
  <c r="K4" i="1"/>
  <c r="J4" i="1"/>
  <c r="I4" i="1"/>
  <c r="H4" i="1"/>
  <c r="K29" i="1"/>
  <c r="J29" i="1"/>
  <c r="I29" i="1"/>
  <c r="G29" i="1"/>
  <c r="G30" i="1" s="1"/>
  <c r="H29" i="1"/>
  <c r="N29" i="1"/>
  <c r="M29" i="1"/>
  <c r="L29" i="1"/>
  <c r="P29" i="1"/>
  <c r="O29" i="1"/>
  <c r="H30" i="1" l="1"/>
  <c r="G31" i="1"/>
  <c r="H31" i="1" l="1"/>
  <c r="I30" i="1"/>
  <c r="I31" i="1" l="1"/>
  <c r="J30" i="1"/>
  <c r="J31" i="1" l="1"/>
  <c r="K30" i="1"/>
  <c r="K31" i="1" l="1"/>
  <c r="L30" i="1"/>
  <c r="L31" i="1" l="1"/>
  <c r="M30" i="1"/>
  <c r="N30" i="1" l="1"/>
  <c r="M31" i="1"/>
  <c r="O30" i="1" l="1"/>
  <c r="N31" i="1"/>
  <c r="O31" i="1" l="1"/>
  <c r="P30" i="1"/>
</calcChain>
</file>

<file path=xl/sharedStrings.xml><?xml version="1.0" encoding="utf-8"?>
<sst xmlns="http://schemas.openxmlformats.org/spreadsheetml/2006/main" count="30" uniqueCount="28">
  <si>
    <r>
      <rPr>
        <b/>
        <sz val="11"/>
        <color theme="9" tint="-0.249977111117893"/>
        <rFont val="Century Gothic"/>
        <family val="2"/>
      </rPr>
      <t xml:space="preserve">Usted va a invertir en un proyecto de inversión a cinco (5) años donde venderá ropa deportiva.
Para llevar a cabo el proyecto, se debe hacer una inversión en el año 0 por concepto de maquinaria de confección avaluada en 100 millones de dólares. Esta maquinaria se deprecia en línea recta a 10 años con valor de salvamento de 10 millones de dólares. Usted espera vender la maquinaria en 50 millones de dólares al finalizar el proyecto de inversión.
Se estima que las ventas totales de ropa deportiva para el primer año de operación sean de 45 millones de dólares y a partir del segundo año, se incrementen 2% con respecto al año anterior.
Se estima que los costos operacionales sean el 40% de los ingresos, que la nómina sea de 4 millones de dólares y que el arriendo del local sea de 8 millones de dólares. Estos dos últimos serán constantes durante toda la vida útil del proyecto de inversión.
En el año 0 usted debe comprar inventario de materia prima por 5 millones de dólares. Este inventario se mantendrá constante durante toda la vida útil del proyecto de inversión. 
Cada año, las cuentas por cobrar serán el 20% de los ingresos.
El periodo de pago (días) es de 162 días con respecto al costo de ventas. Asuma que un año tiene 360 días.
Su costo de oportunidad es del 5% E.S. y la tasa impositiva es del 35%.
</t>
    </r>
    <r>
      <rPr>
        <b/>
        <sz val="11"/>
        <color rgb="FFFF0000"/>
        <rFont val="Century Gothic"/>
        <family val="2"/>
      </rPr>
      <t xml:space="preserve">
</t>
    </r>
    <r>
      <rPr>
        <b/>
        <sz val="11"/>
        <color rgb="FFC00000"/>
        <rFont val="Century Gothic"/>
        <family val="1"/>
      </rPr>
      <t>¿Debería realizar el proyecto?</t>
    </r>
  </si>
  <si>
    <t>Flujo de Caja Libre</t>
  </si>
  <si>
    <t>Periodo</t>
  </si>
  <si>
    <t>Ingresos Operacionales</t>
  </si>
  <si>
    <t>(-) Costo de Ventas</t>
  </si>
  <si>
    <t>Utilidad Bruta</t>
  </si>
  <si>
    <t>(-) Gastos AOM</t>
  </si>
  <si>
    <t>(-) Depreciación</t>
  </si>
  <si>
    <t>Utilidad Operacional</t>
  </si>
  <si>
    <t>(+) Depreciación</t>
  </si>
  <si>
    <t>EBITDA</t>
  </si>
  <si>
    <t>(-) Variación WK</t>
  </si>
  <si>
    <t>(-) Variación CAPEX</t>
  </si>
  <si>
    <t>(-) Impuesto Operacional</t>
  </si>
  <si>
    <t>(-) Impuesto Ocasional</t>
  </si>
  <si>
    <t>FCL</t>
  </si>
  <si>
    <t>VPN</t>
  </si>
  <si>
    <t>C.O. (EA)</t>
  </si>
  <si>
    <t>TIR</t>
  </si>
  <si>
    <t>Tasa Impositiva</t>
  </si>
  <si>
    <t>Capital de Trabajo</t>
  </si>
  <si>
    <t>CxC</t>
  </si>
  <si>
    <t>Inventario</t>
  </si>
  <si>
    <t>CxP</t>
  </si>
  <si>
    <t>WK</t>
  </si>
  <si>
    <t>Depreciación del Periodo</t>
  </si>
  <si>
    <t xml:space="preserve">Depreciación Acumulada </t>
  </si>
  <si>
    <t>Valor en Libros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</si>
</sst>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_-&quot;$&quot;\ * #,##0_-;\-&quot;$&quot;\ * #,##0_-;_-&quot;$&quot;\ * &quot;-&quot;_-;_-@_-"/>
    <numFmt numFmtId="166" formatCode="&quot;$&quot;\ #,##0.00"/>
    <numFmt numFmtId="167" formatCode="_-&quot;$&quot;\ * #,##0.00_-;\-&quot;$&quot;\ * #,##0.00_-;_-&quot;$&quot;\ * &quot;-&quot;_-;_-@_-"/>
  </numFmts>
  <fonts count="14" x14ac:knownFonts="1">
    <font>
      <sz val="11"/>
      <color theme="1"/>
      <name val="Calibri"/>
      <family val="2"/>
      <scheme val="minor"/>
    </font>
    <font>
      <sz val="11"/>
      <color theme="1"/>
      <name val="Calibri"/>
      <family val="2"/>
      <scheme val="minor"/>
    </font>
    <font>
      <sz val="11"/>
      <color theme="1"/>
      <name val="Century Gothic"/>
      <family val="2"/>
    </font>
    <font>
      <sz val="11"/>
      <color rgb="FF000000"/>
      <name val="Century Gothic"/>
      <family val="2"/>
    </font>
    <font>
      <sz val="11"/>
      <name val="Century Gothic"/>
      <family val="2"/>
    </font>
    <font>
      <b/>
      <sz val="11"/>
      <color theme="1"/>
      <name val="Century Gothic"/>
      <family val="2"/>
    </font>
    <font>
      <b/>
      <sz val="11"/>
      <color rgb="FFFF0000"/>
      <name val="Century Gothic"/>
      <family val="2"/>
    </font>
    <font>
      <b/>
      <sz val="11"/>
      <color theme="9" tint="-0.249977111117893"/>
      <name val="Century Gothic"/>
      <family val="2"/>
    </font>
    <font>
      <b/>
      <sz val="11"/>
      <color theme="0"/>
      <name val="Century Gothic"/>
      <family val="2"/>
    </font>
    <font>
      <b/>
      <sz val="11"/>
      <color rgb="FFC00000"/>
      <name val="Century Gothic"/>
      <family val="1"/>
    </font>
    <font>
      <b/>
      <sz val="11"/>
      <color rgb="FFFFFFFF"/>
      <name val="Century Gothic"/>
      <family val="1"/>
    </font>
    <font>
      <b/>
      <sz val="11"/>
      <color theme="0"/>
      <name val="Century Gothic"/>
      <family val="1"/>
    </font>
    <font>
      <b/>
      <sz val="11"/>
      <color theme="9" tint="-0.249977111117893"/>
      <name val="Century Gothic"/>
      <family val="1"/>
    </font>
    <font>
      <sz val="11"/>
      <color rgb="FFFF0000"/>
      <name val="Century Gothic"/>
      <family val="2"/>
    </font>
  </fonts>
  <fills count="5">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s>
  <borders count="6">
    <border>
      <left/>
      <right/>
      <top/>
      <bottom/>
      <diagonal/>
    </border>
    <border>
      <left/>
      <right style="double">
        <color theme="9" tint="-0.249977111117893"/>
      </right>
      <top/>
      <bottom/>
      <diagonal/>
    </border>
    <border>
      <left/>
      <right/>
      <top/>
      <bottom style="double">
        <color theme="9" tint="-0.249977111117893"/>
      </bottom>
      <diagonal/>
    </border>
    <border>
      <left style="medium">
        <color theme="9" tint="-0.499984740745262"/>
      </left>
      <right style="medium">
        <color theme="9" tint="-0.499984740745262"/>
      </right>
      <top style="medium">
        <color theme="9" tint="-0.499984740745262"/>
      </top>
      <bottom style="medium">
        <color theme="9" tint="-0.499984740745262"/>
      </bottom>
      <diagonal/>
    </border>
    <border>
      <left/>
      <right style="medium">
        <color theme="9" tint="-0.499984740745262"/>
      </right>
      <top style="medium">
        <color theme="9" tint="-0.499984740745262"/>
      </top>
      <bottom style="medium">
        <color theme="9" tint="-0.499984740745262"/>
      </bottom>
      <diagonal/>
    </border>
    <border>
      <left style="medium">
        <color theme="9" tint="-0.499984740745262"/>
      </left>
      <right style="medium">
        <color theme="9" tint="-0.499984740745262"/>
      </right>
      <top/>
      <bottom style="medium">
        <color theme="9" tint="-0.499984740745262"/>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34">
    <xf numFmtId="0" fontId="0" fillId="0" borderId="0" xfId="0"/>
    <xf numFmtId="0" fontId="2" fillId="2" borderId="0" xfId="0" applyFont="1" applyFill="1"/>
    <xf numFmtId="0" fontId="3" fillId="2" borderId="0" xfId="0" applyFont="1" applyFill="1" applyAlignment="1">
      <alignment horizontal="left" wrapText="1" readingOrder="1"/>
    </xf>
    <xf numFmtId="0" fontId="2" fillId="2" borderId="1" xfId="0" applyFont="1" applyFill="1" applyBorder="1"/>
    <xf numFmtId="0" fontId="7" fillId="2" borderId="0" xfId="0" applyFont="1" applyFill="1" applyAlignment="1">
      <alignment horizontal="left" wrapText="1" readingOrder="1"/>
    </xf>
    <xf numFmtId="0" fontId="7" fillId="2" borderId="0" xfId="0" applyFont="1" applyFill="1"/>
    <xf numFmtId="166" fontId="3" fillId="2" borderId="0" xfId="0" applyNumberFormat="1" applyFont="1" applyFill="1" applyAlignment="1">
      <alignment horizontal="center" wrapText="1" readingOrder="1"/>
    </xf>
    <xf numFmtId="166" fontId="2" fillId="2" borderId="0" xfId="0" applyNumberFormat="1" applyFont="1" applyFill="1"/>
    <xf numFmtId="0" fontId="3" fillId="2" borderId="2" xfId="0" applyFont="1" applyFill="1" applyBorder="1" applyAlignment="1">
      <alignment horizontal="left" wrapText="1" readingOrder="1"/>
    </xf>
    <xf numFmtId="166" fontId="4" fillId="2" borderId="0" xfId="0" applyNumberFormat="1" applyFont="1" applyFill="1" applyAlignment="1">
      <alignment horizontal="center" vertical="center" wrapText="1"/>
    </xf>
    <xf numFmtId="166" fontId="4" fillId="2" borderId="2" xfId="0" applyNumberFormat="1" applyFont="1" applyFill="1" applyBorder="1" applyAlignment="1">
      <alignment horizontal="center" vertical="center" wrapText="1"/>
    </xf>
    <xf numFmtId="10" fontId="2" fillId="2" borderId="0" xfId="1" applyNumberFormat="1" applyFont="1" applyFill="1"/>
    <xf numFmtId="0" fontId="10" fillId="3" borderId="0" xfId="0" applyFont="1" applyFill="1" applyAlignment="1">
      <alignment horizontal="center" wrapText="1" readingOrder="1"/>
    </xf>
    <xf numFmtId="0" fontId="11" fillId="3" borderId="0" xfId="0" applyFont="1" applyFill="1" applyAlignment="1">
      <alignment horizontal="center" wrapText="1" readingOrder="1"/>
    </xf>
    <xf numFmtId="10" fontId="7" fillId="2" borderId="4" xfId="1" applyNumberFormat="1" applyFont="1" applyFill="1" applyBorder="1" applyAlignment="1">
      <alignment horizontal="center"/>
    </xf>
    <xf numFmtId="0" fontId="8" fillId="3" borderId="3" xfId="0" applyFont="1" applyFill="1" applyBorder="1" applyAlignment="1">
      <alignment horizontal="center"/>
    </xf>
    <xf numFmtId="0" fontId="8" fillId="3" borderId="5" xfId="0" applyFont="1" applyFill="1" applyBorder="1" applyAlignment="1">
      <alignment horizontal="center"/>
    </xf>
    <xf numFmtId="166" fontId="7" fillId="2" borderId="3" xfId="0" applyNumberFormat="1" applyFont="1" applyFill="1" applyBorder="1" applyAlignment="1">
      <alignment horizontal="center"/>
    </xf>
    <xf numFmtId="10" fontId="7" fillId="2" borderId="5" xfId="1" applyNumberFormat="1" applyFont="1" applyFill="1" applyBorder="1" applyAlignment="1">
      <alignment horizontal="center"/>
    </xf>
    <xf numFmtId="164" fontId="2" fillId="2" borderId="0" xfId="2" applyFont="1" applyFill="1"/>
    <xf numFmtId="167" fontId="2" fillId="2" borderId="0" xfId="2" applyNumberFormat="1" applyFont="1" applyFill="1"/>
    <xf numFmtId="167" fontId="3" fillId="2" borderId="0" xfId="0" applyNumberFormat="1" applyFont="1" applyFill="1" applyAlignment="1">
      <alignment horizontal="center" wrapText="1" readingOrder="1"/>
    </xf>
    <xf numFmtId="167" fontId="3" fillId="2" borderId="2" xfId="0" applyNumberFormat="1" applyFont="1" applyFill="1" applyBorder="1" applyAlignment="1">
      <alignment horizontal="center" wrapText="1" readingOrder="1"/>
    </xf>
    <xf numFmtId="167" fontId="7" fillId="2" borderId="0" xfId="0" applyNumberFormat="1" applyFont="1" applyFill="1" applyAlignment="1">
      <alignment horizontal="center" wrapText="1" readingOrder="1"/>
    </xf>
    <xf numFmtId="167" fontId="2" fillId="2" borderId="0" xfId="0" applyNumberFormat="1" applyFont="1" applyFill="1"/>
    <xf numFmtId="167" fontId="7" fillId="2" borderId="0" xfId="0" applyNumberFormat="1" applyFont="1" applyFill="1"/>
    <xf numFmtId="167" fontId="7" fillId="2" borderId="0" xfId="0" applyNumberFormat="1" applyFont="1" applyFill="1" applyAlignment="1">
      <alignment horizontal="center"/>
    </xf>
    <xf numFmtId="0" fontId="12" fillId="4" borderId="0" xfId="0" applyFont="1" applyFill="1" applyAlignment="1">
      <alignment horizontal="center" wrapText="1" readingOrder="1"/>
    </xf>
    <xf numFmtId="166" fontId="12" fillId="4" borderId="0" xfId="0" applyNumberFormat="1" applyFont="1" applyFill="1" applyAlignment="1">
      <alignment horizontal="center" wrapText="1" readingOrder="1"/>
    </xf>
    <xf numFmtId="167" fontId="12" fillId="4" borderId="0" xfId="0" applyNumberFormat="1" applyFont="1" applyFill="1" applyAlignment="1">
      <alignment horizontal="center" wrapText="1" readingOrder="1"/>
    </xf>
    <xf numFmtId="0" fontId="7" fillId="2" borderId="0" xfId="0" applyFont="1" applyFill="1" applyAlignment="1">
      <alignment horizontal="center"/>
    </xf>
    <xf numFmtId="0" fontId="5" fillId="2" borderId="0" xfId="0" applyFont="1" applyFill="1" applyAlignment="1">
      <alignment horizontal="center" vertical="center" wrapText="1"/>
    </xf>
    <xf numFmtId="44" fontId="2" fillId="2" borderId="0" xfId="0" applyNumberFormat="1" applyFont="1" applyFill="1"/>
    <xf numFmtId="167" fontId="13" fillId="2" borderId="0" xfId="0" applyNumberFormat="1" applyFont="1" applyFill="1"/>
  </cellXfs>
  <cellStyles count="3">
    <cellStyle name="Currency [0]" xfId="2" builtinId="7"/>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31"/>
  <sheetViews>
    <sheetView tabSelected="1" zoomScale="138" zoomScaleNormal="85" workbookViewId="0">
      <selection activeCell="H35" sqref="H35"/>
    </sheetView>
  </sheetViews>
  <sheetFormatPr baseColWidth="10" defaultColWidth="11.5" defaultRowHeight="14" x14ac:dyDescent="0.15"/>
  <cols>
    <col min="1" max="1" width="5.6640625" style="1" customWidth="1"/>
    <col min="2" max="2" width="78.33203125" style="1" customWidth="1"/>
    <col min="3" max="4" width="5.6640625" style="1" customWidth="1"/>
    <col min="5" max="5" width="39.33203125" style="1" bestFit="1" customWidth="1"/>
    <col min="6" max="7" width="12.6640625" style="1" customWidth="1"/>
    <col min="8" max="8" width="16.5" style="1" bestFit="1" customWidth="1"/>
    <col min="9" max="11" width="12.6640625" style="1" customWidth="1"/>
    <col min="12" max="16384" width="11.5" style="1"/>
  </cols>
  <sheetData>
    <row r="1" spans="2:12" x14ac:dyDescent="0.15">
      <c r="C1" s="3"/>
    </row>
    <row r="2" spans="2:12" ht="17.5" customHeight="1" x14ac:dyDescent="0.15">
      <c r="B2" s="31" t="s">
        <v>0</v>
      </c>
      <c r="C2" s="3"/>
      <c r="E2" s="30" t="s">
        <v>1</v>
      </c>
      <c r="F2" s="30"/>
      <c r="G2" s="30"/>
      <c r="H2" s="30"/>
      <c r="I2" s="30"/>
      <c r="J2" s="30"/>
      <c r="K2" s="30"/>
    </row>
    <row r="3" spans="2:12" ht="17.5" customHeight="1" x14ac:dyDescent="0.15">
      <c r="B3" s="31"/>
      <c r="C3" s="3"/>
      <c r="E3" s="12" t="s">
        <v>2</v>
      </c>
      <c r="F3" s="12">
        <v>0</v>
      </c>
      <c r="G3" s="12">
        <v>1</v>
      </c>
      <c r="H3" s="12">
        <v>2</v>
      </c>
      <c r="I3" s="12">
        <v>3</v>
      </c>
      <c r="J3" s="12">
        <v>4</v>
      </c>
      <c r="K3" s="12">
        <v>5</v>
      </c>
    </row>
    <row r="4" spans="2:12" ht="17.5" customHeight="1" x14ac:dyDescent="0.15">
      <c r="B4" s="31"/>
      <c r="C4" s="3"/>
      <c r="E4" s="2" t="s">
        <v>3</v>
      </c>
      <c r="F4" s="21">
        <v>0</v>
      </c>
      <c r="G4" s="20">
        <v>45</v>
      </c>
      <c r="H4" s="21">
        <f>+(G4*2%)+G4</f>
        <v>45.9</v>
      </c>
      <c r="I4" s="21">
        <f>+(H4*2%)+H4</f>
        <v>46.817999999999998</v>
      </c>
      <c r="J4" s="21">
        <f>+(I4*2%)+I4</f>
        <v>47.754359999999998</v>
      </c>
      <c r="K4" s="21">
        <f>+(J4*2%)+J4</f>
        <v>48.7094472</v>
      </c>
    </row>
    <row r="5" spans="2:12" ht="17.5" customHeight="1" thickBot="1" x14ac:dyDescent="0.2">
      <c r="B5" s="31"/>
      <c r="C5" s="3"/>
      <c r="E5" s="8" t="s">
        <v>4</v>
      </c>
      <c r="F5" s="22">
        <v>0</v>
      </c>
      <c r="G5" s="22">
        <f>G4*40%</f>
        <v>18</v>
      </c>
      <c r="H5" s="22">
        <f t="shared" ref="H5:K5" si="0">H4*40%</f>
        <v>18.36</v>
      </c>
      <c r="I5" s="22">
        <f t="shared" si="0"/>
        <v>18.7272</v>
      </c>
      <c r="J5" s="22">
        <f t="shared" si="0"/>
        <v>19.101744</v>
      </c>
      <c r="K5" s="22">
        <f t="shared" si="0"/>
        <v>19.483778880000003</v>
      </c>
    </row>
    <row r="6" spans="2:12" ht="17.5" customHeight="1" thickTop="1" x14ac:dyDescent="0.15">
      <c r="B6" s="31"/>
      <c r="C6" s="3"/>
      <c r="E6" s="4" t="s">
        <v>5</v>
      </c>
      <c r="F6" s="23"/>
      <c r="G6" s="23">
        <f>G4-G5</f>
        <v>27</v>
      </c>
      <c r="H6" s="23">
        <f t="shared" ref="H6:K6" si="1">H4-H5</f>
        <v>27.54</v>
      </c>
      <c r="I6" s="23">
        <f t="shared" si="1"/>
        <v>28.090799999999998</v>
      </c>
      <c r="J6" s="23">
        <f t="shared" si="1"/>
        <v>28.652615999999998</v>
      </c>
      <c r="K6" s="23">
        <f t="shared" si="1"/>
        <v>29.225668319999997</v>
      </c>
    </row>
    <row r="7" spans="2:12" ht="17.5" customHeight="1" x14ac:dyDescent="0.15">
      <c r="B7" s="31"/>
      <c r="C7" s="3"/>
      <c r="E7" s="1" t="s">
        <v>6</v>
      </c>
      <c r="F7" s="33">
        <v>12</v>
      </c>
      <c r="G7" s="24">
        <v>12</v>
      </c>
      <c r="H7" s="24">
        <v>12</v>
      </c>
      <c r="I7" s="24">
        <v>12</v>
      </c>
      <c r="J7" s="24">
        <v>12</v>
      </c>
      <c r="K7" s="24">
        <v>12</v>
      </c>
    </row>
    <row r="8" spans="2:12" ht="17.5" customHeight="1" x14ac:dyDescent="0.15">
      <c r="B8" s="31"/>
      <c r="C8" s="3"/>
      <c r="E8" s="8" t="s">
        <v>7</v>
      </c>
      <c r="F8" s="22"/>
      <c r="G8" s="22">
        <f>G29</f>
        <v>9</v>
      </c>
      <c r="H8" s="22">
        <f t="shared" ref="H8:K8" si="2">H29</f>
        <v>9</v>
      </c>
      <c r="I8" s="22">
        <f t="shared" si="2"/>
        <v>9</v>
      </c>
      <c r="J8" s="22">
        <f t="shared" si="2"/>
        <v>9</v>
      </c>
      <c r="K8" s="22">
        <f t="shared" si="2"/>
        <v>9</v>
      </c>
    </row>
    <row r="9" spans="2:12" ht="17.5" customHeight="1" x14ac:dyDescent="0.15">
      <c r="B9" s="31"/>
      <c r="C9" s="3"/>
      <c r="E9" s="4" t="s">
        <v>8</v>
      </c>
      <c r="F9" s="23"/>
      <c r="G9" s="23">
        <f>G6-G7-G8</f>
        <v>6</v>
      </c>
      <c r="H9" s="23">
        <f t="shared" ref="H9:K9" si="3">H6-H7-H8</f>
        <v>6.5399999999999991</v>
      </c>
      <c r="I9" s="23">
        <f t="shared" si="3"/>
        <v>7.090799999999998</v>
      </c>
      <c r="J9" s="23">
        <f t="shared" si="3"/>
        <v>7.6526159999999983</v>
      </c>
      <c r="K9" s="23">
        <f t="shared" si="3"/>
        <v>8.2256683199999969</v>
      </c>
    </row>
    <row r="10" spans="2:12" ht="17.5" customHeight="1" x14ac:dyDescent="0.15">
      <c r="B10" s="31"/>
      <c r="C10" s="3"/>
      <c r="E10" s="8" t="s">
        <v>9</v>
      </c>
      <c r="F10" s="22"/>
      <c r="G10" s="22">
        <f>G29</f>
        <v>9</v>
      </c>
      <c r="H10" s="22">
        <f t="shared" ref="H10:K10" si="4">H29</f>
        <v>9</v>
      </c>
      <c r="I10" s="22">
        <f t="shared" si="4"/>
        <v>9</v>
      </c>
      <c r="J10" s="22">
        <f t="shared" si="4"/>
        <v>9</v>
      </c>
      <c r="K10" s="22">
        <f t="shared" si="4"/>
        <v>9</v>
      </c>
      <c r="L10" s="7"/>
    </row>
    <row r="11" spans="2:12" ht="17.5" customHeight="1" thickTop="1" x14ac:dyDescent="0.15">
      <c r="B11" s="31"/>
      <c r="C11" s="3"/>
      <c r="E11" s="5" t="s">
        <v>10</v>
      </c>
      <c r="F11" s="25"/>
      <c r="G11" s="26">
        <f>G9+G10</f>
        <v>15</v>
      </c>
      <c r="H11" s="26">
        <f t="shared" ref="H11:K11" si="5">H9+H10</f>
        <v>15.54</v>
      </c>
      <c r="I11" s="26">
        <f t="shared" si="5"/>
        <v>16.090799999999998</v>
      </c>
      <c r="J11" s="26">
        <f t="shared" si="5"/>
        <v>16.652615999999998</v>
      </c>
      <c r="K11" s="26">
        <f t="shared" si="5"/>
        <v>17.225668319999997</v>
      </c>
    </row>
    <row r="12" spans="2:12" ht="17.5" customHeight="1" x14ac:dyDescent="0.15">
      <c r="B12" s="31"/>
      <c r="C12" s="3"/>
      <c r="E12" s="2" t="s">
        <v>11</v>
      </c>
      <c r="F12" s="21">
        <f>F26</f>
        <v>5</v>
      </c>
      <c r="G12" s="21">
        <f>G26-F26</f>
        <v>0.90000000000000036</v>
      </c>
      <c r="H12" s="21">
        <f t="shared" ref="H12:K12" si="6">H26-G26</f>
        <v>1.8000000000000682E-2</v>
      </c>
      <c r="I12" s="21">
        <f t="shared" si="6"/>
        <v>1.8359999999999488E-2</v>
      </c>
      <c r="J12" s="21">
        <f t="shared" si="6"/>
        <v>1.8727199999998945E-2</v>
      </c>
      <c r="K12" s="21">
        <f t="shared" si="6"/>
        <v>1.9101744000000309E-2</v>
      </c>
    </row>
    <row r="13" spans="2:12" ht="17.5" customHeight="1" thickBot="1" x14ac:dyDescent="0.2">
      <c r="B13" s="31"/>
      <c r="C13" s="3"/>
      <c r="E13" s="2" t="s">
        <v>12</v>
      </c>
      <c r="F13" s="21">
        <v>100</v>
      </c>
      <c r="G13" s="21"/>
      <c r="H13" s="21"/>
      <c r="I13" s="21"/>
      <c r="J13" s="21"/>
      <c r="K13" s="22">
        <v>-50</v>
      </c>
    </row>
    <row r="14" spans="2:12" ht="17.5" customHeight="1" thickTop="1" x14ac:dyDescent="0.15">
      <c r="B14" s="31"/>
      <c r="C14" s="3"/>
      <c r="E14" s="2" t="s">
        <v>13</v>
      </c>
      <c r="G14" s="32">
        <f>G9*$I$19</f>
        <v>2.0999999999999996</v>
      </c>
      <c r="H14" s="32">
        <f t="shared" ref="H14:K14" si="7">H9*$I$19</f>
        <v>2.2889999999999997</v>
      </c>
      <c r="I14" s="32">
        <f t="shared" si="7"/>
        <v>2.4817799999999992</v>
      </c>
      <c r="J14" s="32">
        <f t="shared" si="7"/>
        <v>2.6784155999999992</v>
      </c>
      <c r="K14" s="32">
        <f t="shared" si="7"/>
        <v>2.8789839119999989</v>
      </c>
    </row>
    <row r="15" spans="2:12" ht="17.5" customHeight="1" thickBot="1" x14ac:dyDescent="0.2">
      <c r="B15" s="31"/>
      <c r="C15" s="3"/>
      <c r="E15" s="8" t="s">
        <v>14</v>
      </c>
      <c r="F15" s="22"/>
      <c r="G15" s="22"/>
      <c r="H15" s="22"/>
      <c r="I15" s="22"/>
      <c r="J15" s="22"/>
      <c r="K15" s="32">
        <f>(ABS(K13)-K31)*I19</f>
        <v>-1.75</v>
      </c>
    </row>
    <row r="16" spans="2:12" ht="17.5" customHeight="1" thickTop="1" x14ac:dyDescent="0.15">
      <c r="B16" s="31"/>
      <c r="C16" s="3"/>
      <c r="E16" s="27" t="s">
        <v>15</v>
      </c>
      <c r="F16" s="29">
        <f>F11-F12-F13-F14-F15</f>
        <v>-105</v>
      </c>
      <c r="G16" s="29">
        <f t="shared" ref="G16:K16" si="8">G11-G12-G13-G14-G15</f>
        <v>12</v>
      </c>
      <c r="H16" s="29">
        <f t="shared" si="8"/>
        <v>13.232999999999999</v>
      </c>
      <c r="I16" s="29">
        <f t="shared" si="8"/>
        <v>13.590660000000002</v>
      </c>
      <c r="J16" s="29">
        <f t="shared" si="8"/>
        <v>13.955473200000002</v>
      </c>
      <c r="K16" s="29">
        <f t="shared" si="8"/>
        <v>66.077582664000005</v>
      </c>
    </row>
    <row r="17" spans="2:16" ht="17.5" customHeight="1" thickBot="1" x14ac:dyDescent="0.2">
      <c r="B17" s="31"/>
      <c r="C17" s="3"/>
    </row>
    <row r="18" spans="2:16" ht="17.5" customHeight="1" thickBot="1" x14ac:dyDescent="0.2">
      <c r="B18" s="31"/>
      <c r="C18" s="3"/>
      <c r="E18" s="15" t="s">
        <v>16</v>
      </c>
      <c r="F18" s="17">
        <f>NPV(I18,G16:K16)+F16</f>
        <v>-23.075747330267717</v>
      </c>
      <c r="H18" s="15" t="s">
        <v>17</v>
      </c>
      <c r="I18" s="14">
        <f>((1+5%)^2) -1</f>
        <v>0.10250000000000004</v>
      </c>
    </row>
    <row r="19" spans="2:16" ht="17.5" customHeight="1" thickBot="1" x14ac:dyDescent="0.2">
      <c r="B19" s="31"/>
      <c r="C19" s="3"/>
      <c r="E19" s="16" t="s">
        <v>18</v>
      </c>
      <c r="F19" s="18">
        <f>IRR(F16:K16)</f>
        <v>3.2434992826941622E-2</v>
      </c>
      <c r="H19" s="15" t="s">
        <v>19</v>
      </c>
      <c r="I19" s="14">
        <v>0.35</v>
      </c>
    </row>
    <row r="20" spans="2:16" ht="17.5" customHeight="1" x14ac:dyDescent="0.15">
      <c r="B20" s="31"/>
      <c r="C20" s="3"/>
    </row>
    <row r="21" spans="2:16" ht="17.5" customHeight="1" x14ac:dyDescent="0.15">
      <c r="B21" s="31"/>
      <c r="C21" s="3"/>
      <c r="E21" s="30" t="s">
        <v>20</v>
      </c>
      <c r="F21" s="30"/>
      <c r="G21" s="30"/>
      <c r="H21" s="30"/>
      <c r="I21" s="30"/>
      <c r="J21" s="30"/>
      <c r="K21" s="30"/>
    </row>
    <row r="22" spans="2:16" ht="17.5" customHeight="1" x14ac:dyDescent="0.15">
      <c r="B22" s="31"/>
      <c r="C22" s="3"/>
      <c r="E22" s="13" t="s">
        <v>2</v>
      </c>
      <c r="F22" s="13">
        <v>0</v>
      </c>
      <c r="G22" s="13">
        <v>1</v>
      </c>
      <c r="H22" s="13">
        <v>2</v>
      </c>
      <c r="I22" s="13">
        <v>3</v>
      </c>
      <c r="J22" s="13">
        <v>4</v>
      </c>
      <c r="K22" s="13">
        <v>5</v>
      </c>
    </row>
    <row r="23" spans="2:16" ht="17.5" customHeight="1" x14ac:dyDescent="0.15">
      <c r="B23" s="31"/>
      <c r="C23" s="3"/>
      <c r="E23" s="2" t="s">
        <v>21</v>
      </c>
      <c r="F23" s="9">
        <v>0</v>
      </c>
      <c r="G23" s="9">
        <f>G4*20%</f>
        <v>9</v>
      </c>
      <c r="H23" s="9">
        <f t="shared" ref="H23:K23" si="9">H4*20%</f>
        <v>9.18</v>
      </c>
      <c r="I23" s="9">
        <f t="shared" si="9"/>
        <v>9.3635999999999999</v>
      </c>
      <c r="J23" s="9">
        <f t="shared" si="9"/>
        <v>9.550872</v>
      </c>
      <c r="K23" s="9">
        <f t="shared" si="9"/>
        <v>9.7418894400000013</v>
      </c>
    </row>
    <row r="24" spans="2:16" ht="17.5" customHeight="1" x14ac:dyDescent="0.15">
      <c r="B24" s="31"/>
      <c r="C24" s="3"/>
      <c r="E24" s="2" t="s">
        <v>22</v>
      </c>
      <c r="F24" s="6">
        <v>5</v>
      </c>
      <c r="G24" s="6">
        <f>F24</f>
        <v>5</v>
      </c>
      <c r="H24" s="6">
        <f t="shared" ref="H24:K24" si="10">G24</f>
        <v>5</v>
      </c>
      <c r="I24" s="6">
        <f t="shared" si="10"/>
        <v>5</v>
      </c>
      <c r="J24" s="6">
        <f t="shared" si="10"/>
        <v>5</v>
      </c>
      <c r="K24" s="6">
        <f t="shared" si="10"/>
        <v>5</v>
      </c>
    </row>
    <row r="25" spans="2:16" ht="17.5" customHeight="1" thickBot="1" x14ac:dyDescent="0.2">
      <c r="B25" s="31"/>
      <c r="C25" s="3"/>
      <c r="E25" s="8" t="s">
        <v>23</v>
      </c>
      <c r="F25" s="10">
        <v>0</v>
      </c>
      <c r="G25" s="10">
        <f>(162*G5)/360</f>
        <v>8.1</v>
      </c>
      <c r="H25" s="10">
        <f t="shared" ref="H25:K25" si="11">(162*H5)/360</f>
        <v>8.2619999999999987</v>
      </c>
      <c r="I25" s="10">
        <f t="shared" si="11"/>
        <v>8.4272399999999994</v>
      </c>
      <c r="J25" s="10">
        <f t="shared" si="11"/>
        <v>8.5957848000000006</v>
      </c>
      <c r="K25" s="10">
        <f t="shared" si="11"/>
        <v>8.7677004960000016</v>
      </c>
    </row>
    <row r="26" spans="2:16" ht="17.5" customHeight="1" thickTop="1" x14ac:dyDescent="0.15">
      <c r="B26" s="31"/>
      <c r="C26" s="3"/>
      <c r="E26" s="27" t="s">
        <v>24</v>
      </c>
      <c r="F26" s="28">
        <f>F23+F24-F25</f>
        <v>5</v>
      </c>
      <c r="G26" s="28">
        <f t="shared" ref="G26:K26" si="12">G23+G24-G25</f>
        <v>5.9</v>
      </c>
      <c r="H26" s="28">
        <f t="shared" si="12"/>
        <v>5.918000000000001</v>
      </c>
      <c r="I26" s="28">
        <f t="shared" si="12"/>
        <v>5.9363600000000005</v>
      </c>
      <c r="J26" s="28">
        <f t="shared" si="12"/>
        <v>5.9550871999999995</v>
      </c>
      <c r="K26" s="28">
        <f t="shared" si="12"/>
        <v>5.9741889439999998</v>
      </c>
    </row>
    <row r="27" spans="2:16" ht="17.5" customHeight="1" x14ac:dyDescent="0.15">
      <c r="B27" s="31"/>
      <c r="C27" s="3"/>
      <c r="I27" s="11"/>
    </row>
    <row r="28" spans="2:16" ht="17.5" customHeight="1" x14ac:dyDescent="0.15">
      <c r="B28" s="31"/>
      <c r="C28" s="3"/>
      <c r="E28" s="13" t="s">
        <v>2</v>
      </c>
      <c r="F28" s="13">
        <v>0</v>
      </c>
      <c r="G28" s="13">
        <v>1</v>
      </c>
      <c r="H28" s="13">
        <v>2</v>
      </c>
      <c r="I28" s="13">
        <v>3</v>
      </c>
      <c r="J28" s="13">
        <v>4</v>
      </c>
      <c r="K28" s="13">
        <v>5</v>
      </c>
      <c r="L28" s="13">
        <v>6</v>
      </c>
      <c r="M28" s="13">
        <v>7</v>
      </c>
      <c r="N28" s="13">
        <v>8</v>
      </c>
      <c r="O28" s="13">
        <v>9</v>
      </c>
      <c r="P28" s="13">
        <v>10</v>
      </c>
    </row>
    <row r="29" spans="2:16" ht="17.5" customHeight="1" x14ac:dyDescent="0.15">
      <c r="B29" s="31"/>
      <c r="C29" s="3"/>
      <c r="E29" s="1" t="s">
        <v>25</v>
      </c>
      <c r="F29" s="19"/>
      <c r="G29" s="19">
        <f>($F$31-$P$31)/10</f>
        <v>9</v>
      </c>
      <c r="H29" s="19">
        <f t="shared" ref="H29:P29" si="13">($F$31-$P$31)/10</f>
        <v>9</v>
      </c>
      <c r="I29" s="19">
        <f t="shared" si="13"/>
        <v>9</v>
      </c>
      <c r="J29" s="19">
        <f t="shared" si="13"/>
        <v>9</v>
      </c>
      <c r="K29" s="19">
        <f t="shared" si="13"/>
        <v>9</v>
      </c>
      <c r="L29" s="19">
        <f t="shared" si="13"/>
        <v>9</v>
      </c>
      <c r="M29" s="19">
        <f t="shared" si="13"/>
        <v>9</v>
      </c>
      <c r="N29" s="19">
        <f t="shared" si="13"/>
        <v>9</v>
      </c>
      <c r="O29" s="19">
        <f t="shared" si="13"/>
        <v>9</v>
      </c>
      <c r="P29" s="19">
        <f t="shared" si="13"/>
        <v>9</v>
      </c>
    </row>
    <row r="30" spans="2:16" x14ac:dyDescent="0.15">
      <c r="E30" s="1" t="s">
        <v>26</v>
      </c>
      <c r="F30" s="19"/>
      <c r="G30" s="19">
        <f>+G29+F30</f>
        <v>9</v>
      </c>
      <c r="H30" s="19">
        <f t="shared" ref="H30:P30" si="14">+H29+G30</f>
        <v>18</v>
      </c>
      <c r="I30" s="19">
        <f t="shared" si="14"/>
        <v>27</v>
      </c>
      <c r="J30" s="19">
        <f t="shared" si="14"/>
        <v>36</v>
      </c>
      <c r="K30" s="19">
        <f t="shared" si="14"/>
        <v>45</v>
      </c>
      <c r="L30" s="19">
        <f t="shared" si="14"/>
        <v>54</v>
      </c>
      <c r="M30" s="19">
        <f t="shared" si="14"/>
        <v>63</v>
      </c>
      <c r="N30" s="19">
        <f t="shared" si="14"/>
        <v>72</v>
      </c>
      <c r="O30" s="19">
        <f t="shared" si="14"/>
        <v>81</v>
      </c>
      <c r="P30" s="19">
        <f t="shared" si="14"/>
        <v>90</v>
      </c>
    </row>
    <row r="31" spans="2:16" x14ac:dyDescent="0.15">
      <c r="E31" s="1" t="s">
        <v>27</v>
      </c>
      <c r="F31" s="19">
        <v>100</v>
      </c>
      <c r="G31" s="19">
        <f>$F$31-G30</f>
        <v>91</v>
      </c>
      <c r="H31" s="19">
        <f t="shared" ref="H31:O31" si="15">$F$31-H30</f>
        <v>82</v>
      </c>
      <c r="I31" s="19">
        <f t="shared" si="15"/>
        <v>73</v>
      </c>
      <c r="J31" s="19">
        <f t="shared" si="15"/>
        <v>64</v>
      </c>
      <c r="K31" s="19">
        <f t="shared" si="15"/>
        <v>55</v>
      </c>
      <c r="L31" s="19">
        <f t="shared" si="15"/>
        <v>46</v>
      </c>
      <c r="M31" s="19">
        <f t="shared" si="15"/>
        <v>37</v>
      </c>
      <c r="N31" s="19">
        <f t="shared" si="15"/>
        <v>28</v>
      </c>
      <c r="O31" s="19">
        <f t="shared" si="15"/>
        <v>19</v>
      </c>
      <c r="P31" s="19">
        <v>10</v>
      </c>
    </row>
  </sheetData>
  <mergeCells count="3">
    <mergeCell ref="E2:K2"/>
    <mergeCell ref="E21:K21"/>
    <mergeCell ref="B2:B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FCL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sebastian</dc:creator>
  <cp:keywords/>
  <dc:description/>
  <cp:lastModifiedBy>Brigitte Castañeda Rodriguez</cp:lastModifiedBy>
  <cp:revision/>
  <dcterms:created xsi:type="dcterms:W3CDTF">2020-10-22T02:41:20Z</dcterms:created>
  <dcterms:modified xsi:type="dcterms:W3CDTF">2026-03-05T14:30:57Z</dcterms:modified>
  <cp:category/>
  <cp:contentStatus/>
</cp:coreProperties>
</file>