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7. Módulo 7 - Costo de Capital/"/>
    </mc:Choice>
  </mc:AlternateContent>
  <xr:revisionPtr revIDLastSave="17" documentId="13_ncr:1_{2F4C0554-96CD-45FE-9911-89E519D29FDF}" xr6:coauthVersionLast="47" xr6:coauthVersionMax="47" xr10:uidLastSave="{D98ABD66-3148-784B-9B8D-53AD06FD7603}"/>
  <bookViews>
    <workbookView xWindow="0" yWindow="760" windowWidth="19420" windowHeight="11500" xr2:uid="{00000000-000D-0000-FFFF-FFFF00000000}"/>
  </bookViews>
  <sheets>
    <sheet name="WACC (Ejercicio 1)" sheetId="6" r:id="rId1"/>
    <sheet name="WACC (Ejercicio 1.2)" sheetId="9" r:id="rId2"/>
    <sheet name="WACC (Ejercicio 2)" sheetId="8" r:id="rId3"/>
  </sheets>
  <definedNames>
    <definedName name="solver_adj" localSheetId="1" hidden="1">'WACC (Ejercicio 1.2)'!$Q$24:$Q$25</definedName>
    <definedName name="solver_adj" localSheetId="2" hidden="1">'WACC (Ejercicio 2)'!$C$18:$C$19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2</definedName>
    <definedName name="solver_drv" localSheetId="0" hidden="1">2</definedName>
    <definedName name="solver_drv" localSheetId="2" hidden="1">2</definedName>
    <definedName name="solver_eng" localSheetId="1" hidden="1">1</definedName>
    <definedName name="solver_eng" localSheetId="0" hidden="1">1</definedName>
    <definedName name="solver_eng" localSheetId="2" hidden="1">1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'WACC (Ejercicio 1.2)'!$Q$24</definedName>
    <definedName name="solver_lhs1" localSheetId="0" hidden="1">'WACC (Ejercicio 1)'!$Q$24</definedName>
    <definedName name="solver_lhs1" localSheetId="2" hidden="1">'WACC (Ejercicio 2)'!$C$18</definedName>
    <definedName name="solver_lhs2" localSheetId="1" hidden="1">'WACC (Ejercicio 1.2)'!$R$26</definedName>
    <definedName name="solver_lhs2" localSheetId="0" hidden="1">'WACC (Ejercicio 1)'!$R$26</definedName>
    <definedName name="solver_lhs2" localSheetId="2" hidden="1">'WACC (Ejercicio 2)'!$C$18:$C$19</definedName>
    <definedName name="solver_lhs3" localSheetId="1" hidden="1">'WACC (Ejercicio 1.2)'!$S$24</definedName>
    <definedName name="solver_lhs3" localSheetId="0" hidden="1">'WACC (Ejercicio 1)'!$S$24</definedName>
    <definedName name="solver_lhs3" localSheetId="2" hidden="1">'WACC (Ejercicio 2)'!$C$19</definedName>
    <definedName name="solver_lhs4" localSheetId="1" hidden="1">'WACC (Ejercicio 1.2)'!$S$25</definedName>
    <definedName name="solver_lhs4" localSheetId="0" hidden="1">'WACC (Ejercicio 1)'!$S$25</definedName>
    <definedName name="solver_lhs4" localSheetId="2" hidden="1">'WACC (Ejercicio 2)'!#REF!</definedName>
    <definedName name="solver_lhs5" localSheetId="1" hidden="1">'WACC (Ejercicio 1.2)'!$S$25</definedName>
    <definedName name="solver_lhs5" localSheetId="0" hidden="1">'WACC (Ejercicio 1)'!$S$25</definedName>
    <definedName name="solver_lhs5" localSheetId="2" hidden="1">'WACC (Ejercicio 2)'!$D$23</definedName>
    <definedName name="solver_lhs6" localSheetId="2" hidden="1">'WACC (Ejercicio 2)'!$I$16</definedName>
    <definedName name="solver_lhs7" localSheetId="2" hidden="1">'WACC (Ejercicio 2)'!$I$17</definedName>
    <definedName name="solver_lin" localSheetId="0" hidden="1">2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4</definedName>
    <definedName name="solver_num" localSheetId="0" hidden="1">0</definedName>
    <definedName name="solver_num" localSheetId="2" hidden="1">7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'WACC (Ejercicio 1.2)'!$S$28</definedName>
    <definedName name="solver_opt" localSheetId="0" hidden="1">'WACC (Ejercicio 1)'!$E$30</definedName>
    <definedName name="solver_opt" localSheetId="2" hidden="1">'WACC (Ejercicio 2)'!$I$19</definedName>
    <definedName name="solver_pre" localSheetId="1" hidden="1">0.000001</definedName>
    <definedName name="solver_pre" localSheetId="0" hidden="1">0.000001</definedName>
    <definedName name="solver_pre" localSheetId="2" hidden="1">1E-26</definedName>
    <definedName name="solver_rbv" localSheetId="1" hidden="1">2</definedName>
    <definedName name="solver_rbv" localSheetId="0" hidden="1">2</definedName>
    <definedName name="solver_rbv" localSheetId="2" hidden="1">2</definedName>
    <definedName name="solver_rel1" localSheetId="1" hidden="1">1</definedName>
    <definedName name="solver_rel1" localSheetId="0" hidden="1">1</definedName>
    <definedName name="solver_rel1" localSheetId="2" hidden="1">1</definedName>
    <definedName name="solver_rel2" localSheetId="1" hidden="1">2</definedName>
    <definedName name="solver_rel2" localSheetId="0" hidden="1">2</definedName>
    <definedName name="solver_rel2" localSheetId="2" hidden="1">3</definedName>
    <definedName name="solver_rel3" localSheetId="1" hidden="1">2</definedName>
    <definedName name="solver_rel3" localSheetId="0" hidden="1">2</definedName>
    <definedName name="solver_rel3" localSheetId="2" hidden="1">1</definedName>
    <definedName name="solver_rel4" localSheetId="1" hidden="1">2</definedName>
    <definedName name="solver_rel4" localSheetId="0" hidden="1">2</definedName>
    <definedName name="solver_rel4" localSheetId="2" hidden="1">1</definedName>
    <definedName name="solver_rel5" localSheetId="1" hidden="1">2</definedName>
    <definedName name="solver_rel5" localSheetId="0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hs1" localSheetId="1" hidden="1">'WACC (Ejercicio 1.2)'!$D$9</definedName>
    <definedName name="solver_rhs1" localSheetId="0" hidden="1">'WACC (Ejercicio 1)'!$D$9</definedName>
    <definedName name="solver_rhs1" localSheetId="2" hidden="1">'WACC (Ejercicio 2)'!$D$8</definedName>
    <definedName name="solver_rhs2" localSheetId="1" hidden="1">150000</definedName>
    <definedName name="solver_rhs2" localSheetId="0" hidden="1">150000</definedName>
    <definedName name="solver_rhs2" localSheetId="2" hidden="1">0</definedName>
    <definedName name="solver_rhs3" localSheetId="1" hidden="1">60%</definedName>
    <definedName name="solver_rhs3" localSheetId="0" hidden="1">60%</definedName>
    <definedName name="solver_rhs3" localSheetId="2" hidden="1">'WACC (Ejercicio 2)'!$D$10</definedName>
    <definedName name="solver_rhs4" localSheetId="1" hidden="1">40%</definedName>
    <definedName name="solver_rhs4" localSheetId="0" hidden="1">40%</definedName>
    <definedName name="solver_rhs4" localSheetId="2" hidden="1">'WACC (Ejercicio 2)'!$D$11</definedName>
    <definedName name="solver_rhs5" localSheetId="1" hidden="1">'WACC (Ejercicio 1.2)'!$T$20</definedName>
    <definedName name="solver_rhs5" localSheetId="0" hidden="1">'WACC (Ejercicio 1)'!$T$20</definedName>
    <definedName name="solver_rhs5" localSheetId="2" hidden="1">150000</definedName>
    <definedName name="solver_rhs6" localSheetId="2" hidden="1">'WACC (Ejercicio 2)'!$J$16</definedName>
    <definedName name="solver_rhs7" localSheetId="2" hidden="1">'WACC (Ejercicio 2)'!$J$17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2</definedName>
    <definedName name="solver_scl" localSheetId="0" hidden="1">2</definedName>
    <definedName name="solver_scl" localSheetId="2" hidden="1">2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2</definedName>
    <definedName name="solver_typ" localSheetId="0" hidden="1">1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2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F15" i="6"/>
  <c r="G15" i="6" s="1"/>
  <c r="H15" i="6" s="1"/>
  <c r="N13" i="9" l="1"/>
  <c r="N13" i="6"/>
</calcChain>
</file>

<file path=xl/sharedStrings.xml><?xml version="1.0" encoding="utf-8"?>
<sst xmlns="http://schemas.openxmlformats.org/spreadsheetml/2006/main" count="182" uniqueCount="77">
  <si>
    <t>FLUJO DE CAJA LIBRE TRIMESTRAL EN MILLONES DE COP</t>
  </si>
  <si>
    <t>Periodo</t>
  </si>
  <si>
    <t>¿El proyecto es económicamente viable?</t>
  </si>
  <si>
    <t>VPN (Sin Restricción D/E)</t>
  </si>
  <si>
    <t xml:space="preserve">FCL </t>
  </si>
  <si>
    <t>VPN (Con Restricción D/E)</t>
  </si>
  <si>
    <t>D E U D A</t>
  </si>
  <si>
    <t>E Q U I T Y</t>
  </si>
  <si>
    <t>W A C C</t>
  </si>
  <si>
    <t>Amortización Constante Semestral</t>
  </si>
  <si>
    <t>Emisión de Acciones</t>
  </si>
  <si>
    <t>Sin Restricción D/E</t>
  </si>
  <si>
    <t>Monto Máximo</t>
  </si>
  <si>
    <t>Precio de emisión</t>
  </si>
  <si>
    <t>Fuente</t>
  </si>
  <si>
    <t>Monto Solicitado</t>
  </si>
  <si>
    <t>Monto Recibido</t>
  </si>
  <si>
    <t>[%]</t>
  </si>
  <si>
    <t>k(i)</t>
  </si>
  <si>
    <t>Tasa de Interés</t>
  </si>
  <si>
    <t>NA/SV</t>
  </si>
  <si>
    <t>Crecimiento anual</t>
  </si>
  <si>
    <t>Tasa Impositiva</t>
  </si>
  <si>
    <t>Dividendo anual hoy</t>
  </si>
  <si>
    <t>D1</t>
  </si>
  <si>
    <t>Plazo</t>
  </si>
  <si>
    <t>Años</t>
  </si>
  <si>
    <t>Costo Emisión</t>
  </si>
  <si>
    <t>E1</t>
  </si>
  <si>
    <t>Comisión</t>
  </si>
  <si>
    <t>Sobre el monto solicitado al momento del desembolso</t>
  </si>
  <si>
    <t>Total</t>
  </si>
  <si>
    <t>WACC</t>
  </si>
  <si>
    <t>Adquisición Deuda</t>
  </si>
  <si>
    <t>Interés</t>
  </si>
  <si>
    <t>Con Restricción D/E</t>
  </si>
  <si>
    <t>Amortización</t>
  </si>
  <si>
    <t>Cuota</t>
  </si>
  <si>
    <t>Restricción D/E de 1,5</t>
  </si>
  <si>
    <t>%D</t>
  </si>
  <si>
    <t>Saldo</t>
  </si>
  <si>
    <t>Dividendo 1</t>
  </si>
  <si>
    <t>sobre el Monto Solicitado</t>
  </si>
  <si>
    <t>%E</t>
  </si>
  <si>
    <t>Costo Emisión ($)</t>
  </si>
  <si>
    <t>Seguro</t>
  </si>
  <si>
    <t>P0</t>
  </si>
  <si>
    <t>Reciprocidades</t>
  </si>
  <si>
    <t>FCD (Pre-Tax)</t>
  </si>
  <si>
    <t>Ke (EA)</t>
  </si>
  <si>
    <t>Ahorro Tributario</t>
  </si>
  <si>
    <t>Ke (TV)</t>
  </si>
  <si>
    <t>FCD (Post-Tax)</t>
  </si>
  <si>
    <t>Kd (Pre - Tax)</t>
  </si>
  <si>
    <t>Kd (Post - Tax)</t>
  </si>
  <si>
    <t>Al momento del desembolso</t>
  </si>
  <si>
    <t>Le proponen un negocio con los siguientes Flujos de Caja Trimestrales:</t>
  </si>
  <si>
    <t>FCL (Trimestral)</t>
  </si>
  <si>
    <t>Para financiar el proyecto anterior, usted cuenta con las siguientes fuentes de financiación.</t>
  </si>
  <si>
    <t>k(i) (E.A)</t>
  </si>
  <si>
    <t>Datos Adicionales</t>
  </si>
  <si>
    <t>Crédito Proveedor CP</t>
  </si>
  <si>
    <t>-</t>
  </si>
  <si>
    <t>Banco 1 LP</t>
  </si>
  <si>
    <t>VPN</t>
  </si>
  <si>
    <t>Banco 2 LP</t>
  </si>
  <si>
    <t>Comisión 2% del Valor desembolsado al momento del desembolso</t>
  </si>
  <si>
    <t>TIR</t>
  </si>
  <si>
    <t>Banco 3 LP</t>
  </si>
  <si>
    <t>Tasa de Interés = 10% A.A.</t>
  </si>
  <si>
    <t>Utilidades Retenidas</t>
  </si>
  <si>
    <t>Ilimitado</t>
  </si>
  <si>
    <t>Emisión Acciones</t>
  </si>
  <si>
    <t>Costo de comisión del 5%</t>
  </si>
  <si>
    <t>Nota = Usted considera que la relación Deuda/Equity más adecuada para el proyecto es de 2</t>
  </si>
  <si>
    <t>Esperado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</si>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</sst>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&quot;$&quot;\ #,##0"/>
    <numFmt numFmtId="167" formatCode="0.0%"/>
    <numFmt numFmtId="168" formatCode="&quot;$&quot;\ #,##0.00"/>
    <numFmt numFmtId="169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0"/>
      <name val="Century Gothic"/>
      <family val="2"/>
    </font>
    <font>
      <b/>
      <sz val="10"/>
      <color rgb="FFFFFFFF"/>
      <name val="Century Gothic"/>
      <family val="2"/>
    </font>
    <font>
      <b/>
      <sz val="10"/>
      <color rgb="FFC00000"/>
      <name val="Century Gothic"/>
      <family val="2"/>
    </font>
    <font>
      <b/>
      <sz val="10"/>
      <color theme="7" tint="-0.249977111117893"/>
      <name val="Century Gothic"/>
      <family val="2"/>
    </font>
    <font>
      <strike/>
      <sz val="10"/>
      <color rgb="FFFF0000"/>
      <name val="Century Gothic"/>
      <family val="2"/>
    </font>
    <font>
      <b/>
      <sz val="1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8505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1">
    <xf numFmtId="0" fontId="0" fillId="0" borderId="0" xfId="0"/>
    <xf numFmtId="0" fontId="2" fillId="2" borderId="0" xfId="0" applyFont="1" applyFill="1"/>
    <xf numFmtId="10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6" fillId="15" borderId="10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wrapText="1" readingOrder="1"/>
    </xf>
    <xf numFmtId="3" fontId="4" fillId="2" borderId="0" xfId="0" applyNumberFormat="1" applyFont="1" applyFill="1" applyAlignment="1">
      <alignment horizontal="center" wrapText="1" readingOrder="1"/>
    </xf>
    <xf numFmtId="9" fontId="4" fillId="2" borderId="0" xfId="0" applyNumberFormat="1" applyFont="1" applyFill="1" applyAlignment="1">
      <alignment horizontal="center" wrapText="1" readingOrder="1"/>
    </xf>
    <xf numFmtId="0" fontId="5" fillId="8" borderId="12" xfId="0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10" fontId="3" fillId="2" borderId="19" xfId="2" applyNumberFormat="1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wrapText="1" readingOrder="1"/>
    </xf>
    <xf numFmtId="9" fontId="4" fillId="2" borderId="20" xfId="0" applyNumberFormat="1" applyFont="1" applyFill="1" applyBorder="1" applyAlignment="1">
      <alignment horizontal="center" wrapText="1" readingOrder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3" fillId="6" borderId="9" xfId="0" applyFont="1" applyFill="1" applyBorder="1" applyAlignment="1">
      <alignment horizontal="center"/>
    </xf>
    <xf numFmtId="10" fontId="2" fillId="2" borderId="12" xfId="2" applyNumberFormat="1" applyFont="1" applyFill="1" applyBorder="1" applyAlignment="1">
      <alignment horizontal="center"/>
    </xf>
    <xf numFmtId="10" fontId="2" fillId="2" borderId="11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10" fontId="2" fillId="2" borderId="22" xfId="0" applyNumberFormat="1" applyFont="1" applyFill="1" applyBorder="1" applyAlignment="1">
      <alignment horizontal="center"/>
    </xf>
    <xf numFmtId="10" fontId="2" fillId="2" borderId="19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10" fontId="2" fillId="2" borderId="17" xfId="2" applyNumberFormat="1" applyFont="1" applyFill="1" applyBorder="1" applyAlignment="1">
      <alignment horizontal="center"/>
    </xf>
    <xf numFmtId="166" fontId="2" fillId="2" borderId="0" xfId="0" applyNumberFormat="1" applyFont="1" applyFill="1"/>
    <xf numFmtId="0" fontId="3" fillId="16" borderId="12" xfId="0" applyFont="1" applyFill="1" applyBorder="1" applyAlignment="1">
      <alignment horizontal="center"/>
    </xf>
    <xf numFmtId="10" fontId="2" fillId="2" borderId="11" xfId="2" applyNumberFormat="1" applyFont="1" applyFill="1" applyBorder="1" applyAlignment="1">
      <alignment horizontal="center"/>
    </xf>
    <xf numFmtId="166" fontId="3" fillId="6" borderId="10" xfId="0" applyNumberFormat="1" applyFont="1" applyFill="1" applyBorder="1" applyAlignment="1">
      <alignment horizontal="center"/>
    </xf>
    <xf numFmtId="10" fontId="3" fillId="6" borderId="10" xfId="2" applyNumberFormat="1" applyFont="1" applyFill="1" applyBorder="1"/>
    <xf numFmtId="10" fontId="3" fillId="6" borderId="11" xfId="2" applyNumberFormat="1" applyFont="1" applyFill="1" applyBorder="1"/>
    <xf numFmtId="0" fontId="5" fillId="17" borderId="13" xfId="0" applyFont="1" applyFill="1" applyBorder="1" applyAlignment="1">
      <alignment horizontal="center"/>
    </xf>
    <xf numFmtId="166" fontId="4" fillId="2" borderId="13" xfId="0" applyNumberFormat="1" applyFont="1" applyFill="1" applyBorder="1" applyAlignment="1">
      <alignment horizontal="center" wrapText="1" readingOrder="1"/>
    </xf>
    <xf numFmtId="0" fontId="3" fillId="0" borderId="13" xfId="0" applyFont="1" applyBorder="1" applyAlignment="1">
      <alignment horizontal="center"/>
    </xf>
    <xf numFmtId="166" fontId="2" fillId="2" borderId="13" xfId="0" applyNumberFormat="1" applyFont="1" applyFill="1" applyBorder="1" applyAlignment="1">
      <alignment horizontal="center"/>
    </xf>
    <xf numFmtId="9" fontId="2" fillId="2" borderId="0" xfId="0" applyNumberFormat="1" applyFont="1" applyFill="1"/>
    <xf numFmtId="0" fontId="2" fillId="2" borderId="14" xfId="0" applyFont="1" applyFill="1" applyBorder="1"/>
    <xf numFmtId="0" fontId="2" fillId="0" borderId="21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0" fontId="3" fillId="0" borderId="0" xfId="0" applyFont="1"/>
    <xf numFmtId="164" fontId="2" fillId="0" borderId="0" xfId="1" applyFont="1" applyBorder="1"/>
    <xf numFmtId="0" fontId="2" fillId="0" borderId="0" xfId="0" applyFont="1"/>
    <xf numFmtId="0" fontId="2" fillId="0" borderId="17" xfId="0" applyFont="1" applyBorder="1"/>
    <xf numFmtId="0" fontId="3" fillId="2" borderId="16" xfId="0" applyFont="1" applyFill="1" applyBorder="1"/>
    <xf numFmtId="166" fontId="2" fillId="2" borderId="17" xfId="0" applyNumberFormat="1" applyFont="1" applyFill="1" applyBorder="1" applyAlignment="1">
      <alignment horizontal="right"/>
    </xf>
    <xf numFmtId="10" fontId="2" fillId="0" borderId="0" xfId="0" applyNumberFormat="1" applyFont="1"/>
    <xf numFmtId="10" fontId="2" fillId="9" borderId="12" xfId="2" applyNumberFormat="1" applyFont="1" applyFill="1" applyBorder="1"/>
    <xf numFmtId="167" fontId="2" fillId="2" borderId="17" xfId="2" applyNumberFormat="1" applyFont="1" applyFill="1" applyBorder="1"/>
    <xf numFmtId="9" fontId="2" fillId="0" borderId="0" xfId="0" applyNumberFormat="1" applyFont="1"/>
    <xf numFmtId="168" fontId="2" fillId="2" borderId="17" xfId="0" applyNumberFormat="1" applyFont="1" applyFill="1" applyBorder="1"/>
    <xf numFmtId="9" fontId="2" fillId="2" borderId="17" xfId="0" applyNumberFormat="1" applyFont="1" applyFill="1" applyBorder="1"/>
    <xf numFmtId="9" fontId="9" fillId="2" borderId="0" xfId="0" applyNumberFormat="1" applyFont="1" applyFill="1"/>
    <xf numFmtId="0" fontId="9" fillId="2" borderId="0" xfId="0" applyFont="1" applyFill="1"/>
    <xf numFmtId="164" fontId="3" fillId="0" borderId="0" xfId="1" applyFont="1" applyBorder="1"/>
    <xf numFmtId="0" fontId="3" fillId="14" borderId="9" xfId="0" applyFont="1" applyFill="1" applyBorder="1" applyAlignment="1">
      <alignment horizontal="center"/>
    </xf>
    <xf numFmtId="166" fontId="3" fillId="14" borderId="10" xfId="0" applyNumberFormat="1" applyFont="1" applyFill="1" applyBorder="1" applyAlignment="1">
      <alignment horizontal="center"/>
    </xf>
    <xf numFmtId="10" fontId="3" fillId="14" borderId="10" xfId="2" applyNumberFormat="1" applyFont="1" applyFill="1" applyBorder="1"/>
    <xf numFmtId="10" fontId="3" fillId="14" borderId="11" xfId="2" applyNumberFormat="1" applyFont="1" applyFill="1" applyBorder="1"/>
    <xf numFmtId="0" fontId="3" fillId="4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14" borderId="12" xfId="0" applyFont="1" applyFill="1" applyBorder="1" applyAlignment="1">
      <alignment horizontal="center"/>
    </xf>
    <xf numFmtId="10" fontId="2" fillId="2" borderId="11" xfId="2" applyNumberFormat="1" applyFont="1" applyFill="1" applyBorder="1"/>
    <xf numFmtId="166" fontId="2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16" xfId="0" applyFont="1" applyFill="1" applyBorder="1" applyAlignment="1">
      <alignment horizontal="center"/>
    </xf>
    <xf numFmtId="168" fontId="2" fillId="2" borderId="17" xfId="0" applyNumberFormat="1" applyFont="1" applyFill="1" applyBorder="1" applyAlignment="1">
      <alignment horizontal="right"/>
    </xf>
    <xf numFmtId="166" fontId="2" fillId="4" borderId="13" xfId="0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left"/>
    </xf>
    <xf numFmtId="0" fontId="3" fillId="9" borderId="13" xfId="0" applyFont="1" applyFill="1" applyBorder="1" applyAlignment="1">
      <alignment horizontal="center"/>
    </xf>
    <xf numFmtId="166" fontId="3" fillId="9" borderId="13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10" fillId="11" borderId="12" xfId="0" applyFont="1" applyFill="1" applyBorder="1" applyAlignment="1">
      <alignment horizontal="center"/>
    </xf>
    <xf numFmtId="10" fontId="2" fillId="2" borderId="12" xfId="0" applyNumberFormat="1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0" borderId="2" xfId="0" applyFont="1" applyBorder="1"/>
    <xf numFmtId="0" fontId="3" fillId="4" borderId="12" xfId="0" applyFont="1" applyFill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" fillId="2" borderId="20" xfId="0" applyFont="1" applyFill="1" applyBorder="1"/>
    <xf numFmtId="9" fontId="2" fillId="0" borderId="0" xfId="2" applyFont="1" applyBorder="1"/>
    <xf numFmtId="10" fontId="3" fillId="0" borderId="0" xfId="0" applyNumberFormat="1" applyFont="1" applyAlignment="1">
      <alignment horizontal="center"/>
    </xf>
    <xf numFmtId="169" fontId="2" fillId="2" borderId="0" xfId="3" applyNumberFormat="1" applyFont="1" applyFill="1"/>
    <xf numFmtId="9" fontId="2" fillId="2" borderId="0" xfId="2" applyFont="1" applyFill="1" applyAlignment="1"/>
    <xf numFmtId="164" fontId="2" fillId="2" borderId="0" xfId="0" applyNumberFormat="1" applyFont="1" applyFill="1"/>
    <xf numFmtId="9" fontId="2" fillId="2" borderId="0" xfId="2" applyFont="1" applyFill="1" applyBorder="1" applyAlignment="1">
      <alignment horizontal="center"/>
    </xf>
    <xf numFmtId="10" fontId="3" fillId="6" borderId="10" xfId="2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 readingOrder="1"/>
    </xf>
    <xf numFmtId="0" fontId="4" fillId="2" borderId="0" xfId="0" applyFont="1" applyFill="1" applyAlignment="1">
      <alignment horizontal="center" wrapText="1" readingOrder="1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 wrapText="1" readingOrder="1"/>
    </xf>
    <xf numFmtId="0" fontId="4" fillId="2" borderId="20" xfId="0" applyFont="1" applyFill="1" applyBorder="1" applyAlignment="1">
      <alignment horizontal="center" wrapText="1" readingOrder="1"/>
    </xf>
    <xf numFmtId="0" fontId="2" fillId="2" borderId="2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 readingOrder="1"/>
    </xf>
    <xf numFmtId="0" fontId="6" fillId="15" borderId="10" xfId="0" applyFont="1" applyFill="1" applyBorder="1" applyAlignment="1">
      <alignment horizontal="center" vertical="center" wrapText="1" readingOrder="1"/>
    </xf>
    <xf numFmtId="0" fontId="6" fillId="15" borderId="11" xfId="0" applyFont="1" applyFill="1" applyBorder="1" applyAlignment="1">
      <alignment horizontal="center" vertical="center" wrapText="1" readingOrder="1"/>
    </xf>
  </cellXfs>
  <cellStyles count="4">
    <cellStyle name="Currency" xfId="3" builtinId="4"/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668867</xdr:colOff>
      <xdr:row>13</xdr:row>
      <xdr:rowOff>103717</xdr:rowOff>
    </xdr:from>
    <xdr:to>
      <xdr:col>13</xdr:col>
      <xdr:colOff>164043</xdr:colOff>
      <xdr:row>16</xdr:row>
      <xdr:rowOff>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2AB984-2401-4531-ADE8-83B861254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0082743" y="2310343"/>
          <a:ext cx="1156758" cy="380049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789517</xdr:colOff>
      <xdr:row>18</xdr:row>
      <xdr:rowOff>86413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C60C0AA-8B67-46F2-856D-AB1392B8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2193" y="2808820"/>
          <a:ext cx="2356907" cy="35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668867</xdr:colOff>
      <xdr:row>13</xdr:row>
      <xdr:rowOff>103717</xdr:rowOff>
    </xdr:from>
    <xdr:to>
      <xdr:col>12</xdr:col>
      <xdr:colOff>1783293</xdr:colOff>
      <xdr:row>16</xdr:row>
      <xdr:rowOff>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B37FD4-BE61-4924-86E9-0C125ADF3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9374717" y="2627842"/>
          <a:ext cx="1047751" cy="409683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459317</xdr:colOff>
      <xdr:row>18</xdr:row>
      <xdr:rowOff>83238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AAC295F-0F62-4B62-91E5-74B682B3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4167" y="3170770"/>
          <a:ext cx="2238375" cy="370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DE1B-E003-4529-961B-3119794CD4DE}">
  <dimension ref="B1:U40"/>
  <sheetViews>
    <sheetView showGridLines="0" tabSelected="1" topLeftCell="E18" zoomScale="180" zoomScaleNormal="180" workbookViewId="0">
      <selection activeCell="E30" sqref="E30"/>
    </sheetView>
  </sheetViews>
  <sheetFormatPr baseColWidth="10" defaultColWidth="11.5" defaultRowHeight="13" x14ac:dyDescent="0.15"/>
  <cols>
    <col min="1" max="1" width="2.6640625" style="1" customWidth="1"/>
    <col min="2" max="2" width="9" style="1" bestFit="1" customWidth="1"/>
    <col min="3" max="3" width="22" style="1" bestFit="1" customWidth="1"/>
    <col min="4" max="4" width="15.1640625" style="1" bestFit="1" customWidth="1"/>
    <col min="5" max="5" width="12.33203125" style="1" customWidth="1"/>
    <col min="6" max="7" width="11.6640625" style="1" customWidth="1"/>
    <col min="8" max="8" width="16.1640625" style="1" bestFit="1" customWidth="1"/>
    <col min="9" max="11" width="11.6640625" style="1" customWidth="1"/>
    <col min="12" max="12" width="3.6640625" style="1" customWidth="1"/>
    <col min="13" max="13" width="23.33203125" style="1" bestFit="1" customWidth="1"/>
    <col min="14" max="14" width="13.5" style="1" bestFit="1" customWidth="1"/>
    <col min="15" max="15" width="3.6640625" style="1" customWidth="1"/>
    <col min="16" max="16" width="8.1640625" style="1" customWidth="1"/>
    <col min="17" max="17" width="11.6640625" style="1" customWidth="1"/>
    <col min="18" max="18" width="12.1640625" style="1" customWidth="1"/>
    <col min="19" max="20" width="9" style="1" customWidth="1"/>
    <col min="21" max="21" width="11.5" style="1" bestFit="1" customWidth="1"/>
    <col min="22" max="16384" width="11.5" style="1"/>
  </cols>
  <sheetData>
    <row r="1" spans="2:21" ht="10" customHeight="1" x14ac:dyDescent="0.15"/>
    <row r="2" spans="2:21" x14ac:dyDescent="0.15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</row>
    <row r="3" spans="2:21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105" t="s">
        <v>2</v>
      </c>
      <c r="N3" s="106"/>
      <c r="O3" s="3"/>
      <c r="P3" s="101" t="s">
        <v>3</v>
      </c>
      <c r="Q3" s="102"/>
      <c r="R3" s="102"/>
      <c r="S3" s="33"/>
      <c r="T3" s="3"/>
    </row>
    <row r="4" spans="2:21" ht="16.5" customHeight="1" x14ac:dyDescent="0.15">
      <c r="B4" s="34" t="s">
        <v>4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107"/>
      <c r="N4" s="108"/>
      <c r="O4" s="3"/>
      <c r="P4" s="103" t="s">
        <v>5</v>
      </c>
      <c r="Q4" s="104"/>
      <c r="R4" s="104"/>
      <c r="S4" s="33"/>
      <c r="T4" s="3"/>
    </row>
    <row r="5" spans="2:21" ht="14" thickBot="1" x14ac:dyDescent="0.2">
      <c r="C5" s="36"/>
    </row>
    <row r="6" spans="2:21" ht="17.5" customHeight="1" thickBot="1" x14ac:dyDescent="0.2">
      <c r="B6" s="125" t="s">
        <v>6</v>
      </c>
      <c r="C6" s="126"/>
      <c r="D6" s="126"/>
      <c r="E6" s="126"/>
      <c r="F6" s="126"/>
      <c r="G6" s="126"/>
      <c r="H6" s="126"/>
      <c r="I6" s="126"/>
      <c r="J6" s="126"/>
      <c r="K6" s="127"/>
      <c r="M6" s="120" t="s">
        <v>7</v>
      </c>
      <c r="N6" s="121"/>
      <c r="P6" s="122" t="s">
        <v>8</v>
      </c>
      <c r="Q6" s="123"/>
      <c r="R6" s="123"/>
      <c r="S6" s="123"/>
      <c r="T6" s="124"/>
    </row>
    <row r="7" spans="2:21" ht="16.5" customHeight="1" thickBot="1" x14ac:dyDescent="0.2">
      <c r="B7" s="133" t="s">
        <v>9</v>
      </c>
      <c r="C7" s="134"/>
      <c r="D7" s="134"/>
      <c r="E7" s="134"/>
      <c r="F7" s="134"/>
      <c r="G7" s="134"/>
      <c r="H7" s="134"/>
      <c r="I7" s="134"/>
      <c r="J7" s="134"/>
      <c r="K7" s="135"/>
      <c r="M7" s="128" t="s">
        <v>10</v>
      </c>
      <c r="N7" s="129"/>
      <c r="P7" s="130" t="s">
        <v>11</v>
      </c>
      <c r="Q7" s="131"/>
      <c r="R7" s="131"/>
      <c r="S7" s="131"/>
      <c r="T7" s="132"/>
    </row>
    <row r="8" spans="2:21" ht="10" customHeight="1" thickBot="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  <c r="M8" s="40"/>
      <c r="N8" s="41"/>
    </row>
    <row r="9" spans="2:21" ht="14" thickBot="1" x14ac:dyDescent="0.2">
      <c r="B9" s="40"/>
      <c r="C9" s="42" t="s">
        <v>12</v>
      </c>
      <c r="D9" s="43">
        <v>112500</v>
      </c>
      <c r="E9" s="44"/>
      <c r="F9" s="44"/>
      <c r="G9" s="44"/>
      <c r="H9" s="44"/>
      <c r="I9" s="44"/>
      <c r="J9" s="44"/>
      <c r="K9" s="45"/>
      <c r="M9" s="46" t="s">
        <v>13</v>
      </c>
      <c r="N9" s="47">
        <v>50</v>
      </c>
      <c r="P9" s="112" t="s">
        <v>14</v>
      </c>
      <c r="Q9" s="114" t="s">
        <v>15</v>
      </c>
      <c r="R9" s="114" t="s">
        <v>16</v>
      </c>
      <c r="S9" s="116" t="s">
        <v>17</v>
      </c>
      <c r="T9" s="118" t="s">
        <v>18</v>
      </c>
    </row>
    <row r="10" spans="2:21" ht="14" thickBot="1" x14ac:dyDescent="0.2">
      <c r="B10" s="40"/>
      <c r="C10" s="42" t="s">
        <v>19</v>
      </c>
      <c r="D10" s="48">
        <v>0.105</v>
      </c>
      <c r="E10" s="44" t="s">
        <v>20</v>
      </c>
      <c r="F10" s="49"/>
      <c r="G10" s="44"/>
      <c r="H10" s="44"/>
      <c r="I10" s="44"/>
      <c r="J10" s="44"/>
      <c r="K10" s="45"/>
      <c r="M10" s="46" t="s">
        <v>21</v>
      </c>
      <c r="N10" s="50">
        <v>4.4999999999999998E-2</v>
      </c>
      <c r="P10" s="113"/>
      <c r="Q10" s="115"/>
      <c r="R10" s="115"/>
      <c r="S10" s="117"/>
      <c r="T10" s="119"/>
    </row>
    <row r="11" spans="2:21" x14ac:dyDescent="0.15">
      <c r="B11" s="40"/>
      <c r="C11" s="42" t="s">
        <v>22</v>
      </c>
      <c r="D11" s="51">
        <v>0.33</v>
      </c>
      <c r="E11" s="44"/>
      <c r="F11" s="44"/>
      <c r="G11" s="44"/>
      <c r="H11" s="44"/>
      <c r="I11" s="44"/>
      <c r="J11" s="44"/>
      <c r="K11" s="45"/>
      <c r="M11" s="46" t="s">
        <v>23</v>
      </c>
      <c r="N11" s="52">
        <v>7.5</v>
      </c>
      <c r="P11" s="22" t="s">
        <v>24</v>
      </c>
      <c r="Q11" s="23"/>
      <c r="R11" s="23"/>
      <c r="S11" s="24"/>
      <c r="T11" s="25"/>
    </row>
    <row r="12" spans="2:21" ht="14" thickBot="1" x14ac:dyDescent="0.2">
      <c r="B12" s="40"/>
      <c r="C12" s="42" t="s">
        <v>25</v>
      </c>
      <c r="D12" s="44">
        <v>2</v>
      </c>
      <c r="E12" s="44" t="s">
        <v>26</v>
      </c>
      <c r="F12" s="44"/>
      <c r="G12" s="44"/>
      <c r="H12" s="44"/>
      <c r="I12" s="44"/>
      <c r="J12" s="44"/>
      <c r="K12" s="45"/>
      <c r="M12" s="46" t="s">
        <v>27</v>
      </c>
      <c r="N12" s="53">
        <v>0.02</v>
      </c>
      <c r="P12" s="22" t="s">
        <v>28</v>
      </c>
      <c r="Q12" s="23"/>
      <c r="R12" s="23"/>
      <c r="S12" s="24"/>
      <c r="T12" s="25"/>
      <c r="U12" s="86"/>
    </row>
    <row r="13" spans="2:21" ht="14" thickBot="1" x14ac:dyDescent="0.2">
      <c r="B13" s="40"/>
      <c r="C13" s="42" t="s">
        <v>29</v>
      </c>
      <c r="D13" s="84">
        <v>0.05</v>
      </c>
      <c r="E13" s="44" t="s">
        <v>30</v>
      </c>
      <c r="F13" s="44"/>
      <c r="G13" s="44"/>
      <c r="H13" s="44"/>
      <c r="I13" s="44"/>
      <c r="J13" s="44"/>
      <c r="K13" s="45"/>
      <c r="M13" s="46" t="s">
        <v>22</v>
      </c>
      <c r="N13" s="53">
        <f>D11</f>
        <v>0.33</v>
      </c>
      <c r="P13" s="57" t="s">
        <v>31</v>
      </c>
      <c r="Q13" s="58"/>
      <c r="R13" s="58"/>
      <c r="S13" s="59"/>
      <c r="T13" s="60"/>
    </row>
    <row r="14" spans="2:21" ht="14" thickBot="1" x14ac:dyDescent="0.2">
      <c r="B14" s="40"/>
      <c r="C14" s="44"/>
      <c r="D14" s="44"/>
      <c r="E14" s="44"/>
      <c r="F14" s="44"/>
      <c r="G14" s="44"/>
      <c r="H14" s="44"/>
      <c r="I14" s="44"/>
      <c r="J14" s="44"/>
      <c r="K14" s="45"/>
      <c r="M14" s="40"/>
      <c r="N14" s="41"/>
    </row>
    <row r="15" spans="2:21" ht="14" thickBot="1" x14ac:dyDescent="0.2">
      <c r="B15" s="40"/>
      <c r="C15" s="61" t="s">
        <v>1</v>
      </c>
      <c r="D15" s="61">
        <v>0</v>
      </c>
      <c r="E15" s="61">
        <f t="shared" ref="E15:H15" si="0">+D15+1</f>
        <v>1</v>
      </c>
      <c r="F15" s="61">
        <f t="shared" si="0"/>
        <v>2</v>
      </c>
      <c r="G15" s="61">
        <f t="shared" si="0"/>
        <v>3</v>
      </c>
      <c r="H15" s="61">
        <f t="shared" si="0"/>
        <v>4</v>
      </c>
      <c r="I15" s="44"/>
      <c r="J15" s="44"/>
      <c r="K15" s="45"/>
      <c r="M15" s="40"/>
      <c r="N15" s="41"/>
      <c r="R15" s="63" t="s">
        <v>32</v>
      </c>
      <c r="S15" s="64"/>
    </row>
    <row r="16" spans="2:21" ht="14" thickBot="1" x14ac:dyDescent="0.2">
      <c r="B16" s="40"/>
      <c r="C16" s="34" t="s">
        <v>33</v>
      </c>
      <c r="D16" s="35"/>
      <c r="E16" s="35"/>
      <c r="F16" s="35"/>
      <c r="G16" s="35"/>
      <c r="H16" s="35"/>
      <c r="I16" s="44"/>
      <c r="J16" s="44"/>
      <c r="K16" s="45"/>
      <c r="M16" s="40"/>
      <c r="N16" s="41"/>
    </row>
    <row r="17" spans="2:20" ht="14" thickBot="1" x14ac:dyDescent="0.2">
      <c r="B17" s="40"/>
      <c r="C17" s="34" t="s">
        <v>34</v>
      </c>
      <c r="D17" s="35"/>
      <c r="E17" s="35"/>
      <c r="F17" s="35"/>
      <c r="G17" s="35"/>
      <c r="H17" s="35"/>
      <c r="I17" s="44"/>
      <c r="J17" s="44"/>
      <c r="K17" s="45"/>
      <c r="M17" s="40"/>
      <c r="N17" s="41"/>
      <c r="P17" s="109" t="s">
        <v>35</v>
      </c>
      <c r="Q17" s="110"/>
      <c r="R17" s="110"/>
      <c r="S17" s="110"/>
      <c r="T17" s="111"/>
    </row>
    <row r="18" spans="2:20" ht="14" thickBot="1" x14ac:dyDescent="0.2">
      <c r="B18" s="40"/>
      <c r="C18" s="34" t="s">
        <v>36</v>
      </c>
      <c r="D18" s="35"/>
      <c r="E18" s="35"/>
      <c r="F18" s="35"/>
      <c r="G18" s="35"/>
      <c r="H18" s="35"/>
      <c r="I18" s="44"/>
      <c r="J18" s="44"/>
      <c r="K18" s="45"/>
      <c r="M18" s="40"/>
      <c r="N18" s="41"/>
    </row>
    <row r="19" spans="2:20" ht="14" thickBot="1" x14ac:dyDescent="0.2">
      <c r="B19" s="40"/>
      <c r="C19" s="34" t="s">
        <v>37</v>
      </c>
      <c r="D19" s="35"/>
      <c r="E19" s="35"/>
      <c r="F19" s="35"/>
      <c r="G19" s="35"/>
      <c r="H19" s="35"/>
      <c r="I19" s="44"/>
      <c r="J19" s="44"/>
      <c r="K19" s="45"/>
      <c r="M19" s="22"/>
      <c r="N19" s="52"/>
      <c r="P19" s="66" t="s">
        <v>38</v>
      </c>
      <c r="S19" s="16" t="s">
        <v>39</v>
      </c>
      <c r="T19" s="28"/>
    </row>
    <row r="20" spans="2:20" ht="14" thickBot="1" x14ac:dyDescent="0.2">
      <c r="B20" s="40"/>
      <c r="C20" s="34" t="s">
        <v>40</v>
      </c>
      <c r="D20" s="35"/>
      <c r="E20" s="35"/>
      <c r="F20" s="35"/>
      <c r="G20" s="35"/>
      <c r="H20" s="35"/>
      <c r="I20" s="44"/>
      <c r="J20" s="44"/>
      <c r="K20" s="45"/>
      <c r="M20" s="67" t="s">
        <v>41</v>
      </c>
      <c r="N20" s="68"/>
      <c r="P20" s="66" t="s">
        <v>42</v>
      </c>
      <c r="S20" s="19" t="s">
        <v>43</v>
      </c>
      <c r="T20" s="21"/>
    </row>
    <row r="21" spans="2:20" ht="14" thickBot="1" x14ac:dyDescent="0.2">
      <c r="B21" s="40"/>
      <c r="C21" s="34" t="s">
        <v>29</v>
      </c>
      <c r="D21" s="35"/>
      <c r="E21" s="35"/>
      <c r="F21" s="35"/>
      <c r="G21" s="35"/>
      <c r="H21" s="35"/>
      <c r="I21" s="44"/>
      <c r="J21" s="44"/>
      <c r="K21" s="45"/>
      <c r="M21" s="67" t="s">
        <v>44</v>
      </c>
      <c r="N21" s="68"/>
    </row>
    <row r="22" spans="2:20" x14ac:dyDescent="0.15">
      <c r="B22" s="40"/>
      <c r="C22" s="34" t="s">
        <v>45</v>
      </c>
      <c r="D22" s="35"/>
      <c r="E22" s="35"/>
      <c r="F22" s="35"/>
      <c r="G22" s="35"/>
      <c r="H22" s="35"/>
      <c r="I22" s="44"/>
      <c r="J22" s="44"/>
      <c r="K22" s="45"/>
      <c r="M22" s="67" t="s">
        <v>46</v>
      </c>
      <c r="N22" s="68"/>
      <c r="O22" s="70"/>
      <c r="P22" s="91" t="s">
        <v>14</v>
      </c>
      <c r="Q22" s="93" t="s">
        <v>15</v>
      </c>
      <c r="R22" s="93" t="s">
        <v>16</v>
      </c>
      <c r="S22" s="95" t="s">
        <v>17</v>
      </c>
      <c r="T22" s="97" t="s">
        <v>18</v>
      </c>
    </row>
    <row r="23" spans="2:20" ht="14" thickBot="1" x14ac:dyDescent="0.2">
      <c r="B23" s="40"/>
      <c r="C23" s="34" t="s">
        <v>47</v>
      </c>
      <c r="D23" s="35"/>
      <c r="E23" s="35"/>
      <c r="F23" s="35"/>
      <c r="G23" s="35"/>
      <c r="H23" s="35"/>
      <c r="I23" s="44"/>
      <c r="J23" s="44"/>
      <c r="K23" s="45"/>
      <c r="M23" s="40"/>
      <c r="N23" s="41"/>
      <c r="P23" s="92"/>
      <c r="Q23" s="94"/>
      <c r="R23" s="94"/>
      <c r="S23" s="96"/>
      <c r="T23" s="98"/>
    </row>
    <row r="24" spans="2:20" ht="14" thickBot="1" x14ac:dyDescent="0.2">
      <c r="B24" s="40"/>
      <c r="C24" s="71" t="s">
        <v>48</v>
      </c>
      <c r="D24" s="72"/>
      <c r="E24" s="72"/>
      <c r="F24" s="72"/>
      <c r="G24" s="72"/>
      <c r="H24" s="72"/>
      <c r="I24" s="44"/>
      <c r="J24" s="44"/>
      <c r="K24" s="45"/>
      <c r="M24" s="74" t="s">
        <v>49</v>
      </c>
      <c r="N24" s="75"/>
      <c r="P24" s="22" t="s">
        <v>24</v>
      </c>
      <c r="Q24" s="23"/>
      <c r="R24" s="23"/>
      <c r="S24" s="24"/>
      <c r="T24" s="25"/>
    </row>
    <row r="25" spans="2:20" ht="14" thickBot="1" x14ac:dyDescent="0.2">
      <c r="B25" s="40"/>
      <c r="C25" s="34" t="s">
        <v>50</v>
      </c>
      <c r="D25" s="35"/>
      <c r="E25" s="35"/>
      <c r="F25" s="35"/>
      <c r="G25" s="35"/>
      <c r="H25" s="35"/>
      <c r="I25" s="44"/>
      <c r="J25" s="44"/>
      <c r="K25" s="45"/>
      <c r="M25" s="74" t="s">
        <v>51</v>
      </c>
      <c r="N25" s="75"/>
      <c r="P25" s="22" t="s">
        <v>28</v>
      </c>
      <c r="Q25" s="23"/>
      <c r="R25" s="23"/>
      <c r="S25" s="24"/>
      <c r="T25" s="25"/>
    </row>
    <row r="26" spans="2:20" ht="14" thickBot="1" x14ac:dyDescent="0.2">
      <c r="B26" s="40"/>
      <c r="C26" s="71" t="s">
        <v>52</v>
      </c>
      <c r="D26" s="72"/>
      <c r="E26" s="72"/>
      <c r="F26" s="72"/>
      <c r="G26" s="72"/>
      <c r="H26" s="72"/>
      <c r="I26" s="44"/>
      <c r="J26" s="44"/>
      <c r="K26" s="45"/>
      <c r="M26" s="76"/>
      <c r="N26" s="77"/>
      <c r="P26" s="16" t="s">
        <v>31</v>
      </c>
      <c r="Q26" s="29"/>
      <c r="R26" s="29"/>
      <c r="S26" s="30"/>
      <c r="T26" s="31"/>
    </row>
    <row r="27" spans="2:20" ht="14" thickBot="1" x14ac:dyDescent="0.2">
      <c r="B27" s="40"/>
      <c r="C27" s="78"/>
      <c r="D27" s="44"/>
      <c r="E27" s="44"/>
      <c r="F27" s="44"/>
      <c r="G27" s="44"/>
      <c r="H27" s="44"/>
      <c r="I27" s="44"/>
      <c r="J27" s="44"/>
      <c r="K27" s="45"/>
      <c r="Q27" s="26"/>
    </row>
    <row r="28" spans="2:20" ht="14" thickBot="1" x14ac:dyDescent="0.2">
      <c r="B28" s="40"/>
      <c r="C28" s="44"/>
      <c r="D28" s="79" t="s">
        <v>53</v>
      </c>
      <c r="E28" s="80"/>
      <c r="G28" s="44"/>
      <c r="H28" s="79" t="s">
        <v>54</v>
      </c>
      <c r="I28" s="81"/>
      <c r="K28" s="45"/>
      <c r="Q28" s="26"/>
      <c r="R28" s="82" t="s">
        <v>32</v>
      </c>
      <c r="S28" s="28"/>
    </row>
    <row r="29" spans="2:20" ht="6" customHeight="1" thickBot="1" x14ac:dyDescent="0.2">
      <c r="B29" s="40"/>
      <c r="C29" s="44"/>
      <c r="D29" s="44"/>
      <c r="E29" s="44"/>
      <c r="F29" s="44"/>
      <c r="G29" s="44"/>
      <c r="H29" s="44"/>
      <c r="I29" s="85"/>
      <c r="K29" s="45"/>
      <c r="R29" s="44"/>
      <c r="S29" s="24"/>
    </row>
    <row r="30" spans="2:20" ht="14" thickBot="1" x14ac:dyDescent="0.2">
      <c r="B30" s="40"/>
      <c r="C30" s="44"/>
      <c r="D30" s="79" t="s">
        <v>53</v>
      </c>
      <c r="E30" s="80"/>
      <c r="F30" s="44"/>
      <c r="G30" s="44"/>
      <c r="H30" s="79" t="s">
        <v>54</v>
      </c>
      <c r="I30" s="80"/>
      <c r="K30" s="45"/>
      <c r="R30" s="44"/>
      <c r="S30" s="24"/>
    </row>
    <row r="31" spans="2:20" ht="14" thickBot="1" x14ac:dyDescent="0.2">
      <c r="B31" s="76"/>
      <c r="C31" s="83"/>
      <c r="D31" s="83"/>
      <c r="E31" s="83"/>
      <c r="F31" s="83"/>
      <c r="G31" s="83"/>
      <c r="H31" s="83"/>
      <c r="I31" s="83"/>
      <c r="J31" s="83"/>
      <c r="K31" s="77"/>
      <c r="R31" s="26"/>
    </row>
    <row r="38" spans="19:21" x14ac:dyDescent="0.15">
      <c r="S38" s="2"/>
      <c r="T38" s="87"/>
    </row>
    <row r="39" spans="19:21" x14ac:dyDescent="0.15">
      <c r="S39" s="2"/>
      <c r="T39" s="87"/>
    </row>
    <row r="40" spans="19:21" x14ac:dyDescent="0.15">
      <c r="S40" s="26"/>
      <c r="U40" s="88"/>
    </row>
  </sheetData>
  <mergeCells count="21">
    <mergeCell ref="B2:K2"/>
    <mergeCell ref="P3:R3"/>
    <mergeCell ref="P4:R4"/>
    <mergeCell ref="M3:N4"/>
    <mergeCell ref="P17:T17"/>
    <mergeCell ref="P9:P10"/>
    <mergeCell ref="Q9:Q10"/>
    <mergeCell ref="R9:R10"/>
    <mergeCell ref="S9:S10"/>
    <mergeCell ref="T9:T10"/>
    <mergeCell ref="M6:N6"/>
    <mergeCell ref="P6:T6"/>
    <mergeCell ref="B6:K6"/>
    <mergeCell ref="M7:N7"/>
    <mergeCell ref="P7:T7"/>
    <mergeCell ref="B7:K7"/>
    <mergeCell ref="P22:P23"/>
    <mergeCell ref="Q22:Q23"/>
    <mergeCell ref="R22:R23"/>
    <mergeCell ref="S22:S23"/>
    <mergeCell ref="T22:T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3BE9-5086-4E11-83D2-5D56CF4AA3FF}">
  <dimension ref="B1:U42"/>
  <sheetViews>
    <sheetView showGridLines="0" zoomScaleNormal="100" workbookViewId="0"/>
  </sheetViews>
  <sheetFormatPr baseColWidth="10" defaultColWidth="11.5" defaultRowHeight="13" x14ac:dyDescent="0.15"/>
  <cols>
    <col min="1" max="1" width="2.6640625" style="1" customWidth="1"/>
    <col min="2" max="2" width="9" style="1" bestFit="1" customWidth="1"/>
    <col min="3" max="3" width="17.83203125" style="1" bestFit="1" customWidth="1"/>
    <col min="4" max="4" width="15.1640625" style="1" bestFit="1" customWidth="1"/>
    <col min="5" max="5" width="11.5" style="1" customWidth="1"/>
    <col min="6" max="7" width="10.33203125" style="1" bestFit="1" customWidth="1"/>
    <col min="8" max="8" width="16.1640625" style="1" bestFit="1" customWidth="1"/>
    <col min="9" max="9" width="10.83203125" style="1" customWidth="1"/>
    <col min="10" max="10" width="9.5" style="1" bestFit="1" customWidth="1"/>
    <col min="11" max="11" width="11.1640625" style="1" customWidth="1"/>
    <col min="12" max="12" width="3.6640625" style="1" customWidth="1"/>
    <col min="13" max="13" width="28.1640625" style="1" customWidth="1"/>
    <col min="14" max="14" width="8.1640625" style="1" bestFit="1" customWidth="1"/>
    <col min="15" max="15" width="3.6640625" style="1" customWidth="1"/>
    <col min="16" max="16" width="23.83203125" style="1" bestFit="1" customWidth="1"/>
    <col min="17" max="17" width="15.83203125" style="1" bestFit="1" customWidth="1"/>
    <col min="18" max="18" width="15" style="1" bestFit="1" customWidth="1"/>
    <col min="19" max="19" width="8.83203125" style="1" customWidth="1"/>
    <col min="20" max="20" width="7.5" style="1" customWidth="1"/>
    <col min="21" max="16384" width="11.5" style="1"/>
  </cols>
  <sheetData>
    <row r="1" spans="2:20" ht="10" customHeight="1" x14ac:dyDescent="0.15"/>
    <row r="2" spans="2:20" x14ac:dyDescent="0.15"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</row>
    <row r="3" spans="2:20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105" t="s">
        <v>2</v>
      </c>
      <c r="N3" s="106"/>
      <c r="O3" s="3"/>
      <c r="P3" s="101" t="s">
        <v>3</v>
      </c>
      <c r="Q3" s="102"/>
      <c r="R3" s="102"/>
      <c r="S3" s="33"/>
      <c r="T3" s="3"/>
    </row>
    <row r="4" spans="2:20" ht="16.5" customHeight="1" x14ac:dyDescent="0.15">
      <c r="B4" s="34" t="s">
        <v>4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107"/>
      <c r="N4" s="108"/>
      <c r="O4" s="3"/>
      <c r="P4" s="103" t="s">
        <v>5</v>
      </c>
      <c r="Q4" s="104"/>
      <c r="R4" s="104"/>
      <c r="S4" s="33"/>
      <c r="T4" s="3"/>
    </row>
    <row r="5" spans="2:20" ht="14" thickBot="1" x14ac:dyDescent="0.2">
      <c r="C5" s="36"/>
    </row>
    <row r="6" spans="2:20" ht="17.5" customHeight="1" thickBot="1" x14ac:dyDescent="0.2">
      <c r="B6" s="125" t="s">
        <v>6</v>
      </c>
      <c r="C6" s="126"/>
      <c r="D6" s="126"/>
      <c r="E6" s="126"/>
      <c r="F6" s="126"/>
      <c r="G6" s="126"/>
      <c r="H6" s="126"/>
      <c r="I6" s="126"/>
      <c r="J6" s="126"/>
      <c r="K6" s="127"/>
      <c r="M6" s="120" t="s">
        <v>7</v>
      </c>
      <c r="N6" s="121"/>
      <c r="P6" s="122" t="s">
        <v>8</v>
      </c>
      <c r="Q6" s="123"/>
      <c r="R6" s="123"/>
      <c r="S6" s="123"/>
      <c r="T6" s="124"/>
    </row>
    <row r="7" spans="2:20" ht="16.5" customHeight="1" thickBot="1" x14ac:dyDescent="0.2">
      <c r="B7" s="133" t="s">
        <v>9</v>
      </c>
      <c r="C7" s="134"/>
      <c r="D7" s="134"/>
      <c r="E7" s="134"/>
      <c r="F7" s="134"/>
      <c r="G7" s="134"/>
      <c r="H7" s="134"/>
      <c r="I7" s="134"/>
      <c r="J7" s="134"/>
      <c r="K7" s="135"/>
      <c r="M7" s="128" t="s">
        <v>10</v>
      </c>
      <c r="N7" s="129"/>
      <c r="P7" s="130" t="s">
        <v>11</v>
      </c>
      <c r="Q7" s="131"/>
      <c r="R7" s="131"/>
      <c r="S7" s="131"/>
      <c r="T7" s="132"/>
    </row>
    <row r="8" spans="2:20" ht="10" customHeight="1" thickBot="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  <c r="M8" s="40"/>
      <c r="N8" s="41"/>
    </row>
    <row r="9" spans="2:20" ht="14" thickBot="1" x14ac:dyDescent="0.2">
      <c r="B9" s="40"/>
      <c r="C9" s="42" t="s">
        <v>12</v>
      </c>
      <c r="D9" s="43">
        <v>112500</v>
      </c>
      <c r="E9" s="44"/>
      <c r="F9" s="44"/>
      <c r="G9" s="44"/>
      <c r="H9" s="44"/>
      <c r="I9" s="44"/>
      <c r="J9" s="44"/>
      <c r="K9" s="45"/>
      <c r="M9" s="46" t="s">
        <v>13</v>
      </c>
      <c r="N9" s="47">
        <v>50</v>
      </c>
      <c r="P9" s="112" t="s">
        <v>14</v>
      </c>
      <c r="Q9" s="114" t="s">
        <v>15</v>
      </c>
      <c r="R9" s="114" t="s">
        <v>16</v>
      </c>
      <c r="S9" s="116" t="s">
        <v>17</v>
      </c>
      <c r="T9" s="118" t="s">
        <v>18</v>
      </c>
    </row>
    <row r="10" spans="2:20" ht="14" thickBot="1" x14ac:dyDescent="0.2">
      <c r="B10" s="40"/>
      <c r="C10" s="42" t="s">
        <v>19</v>
      </c>
      <c r="D10" s="48">
        <v>0.105</v>
      </c>
      <c r="E10" s="44" t="s">
        <v>20</v>
      </c>
      <c r="F10" s="49"/>
      <c r="G10" s="44"/>
      <c r="H10" s="44"/>
      <c r="I10" s="44"/>
      <c r="J10" s="44"/>
      <c r="K10" s="45"/>
      <c r="M10" s="46" t="s">
        <v>21</v>
      </c>
      <c r="N10" s="50">
        <v>4.4999999999999998E-2</v>
      </c>
      <c r="P10" s="113"/>
      <c r="Q10" s="115"/>
      <c r="R10" s="115"/>
      <c r="S10" s="117"/>
      <c r="T10" s="119"/>
    </row>
    <row r="11" spans="2:20" x14ac:dyDescent="0.15">
      <c r="B11" s="40"/>
      <c r="C11" s="42" t="s">
        <v>22</v>
      </c>
      <c r="D11" s="51">
        <v>0.33</v>
      </c>
      <c r="E11" s="44"/>
      <c r="F11" s="44"/>
      <c r="G11" s="44"/>
      <c r="H11" s="44"/>
      <c r="I11" s="44"/>
      <c r="J11" s="44"/>
      <c r="K11" s="45"/>
      <c r="M11" s="46" t="s">
        <v>23</v>
      </c>
      <c r="N11" s="52">
        <v>7.5</v>
      </c>
      <c r="P11" s="22" t="s">
        <v>24</v>
      </c>
      <c r="Q11" s="23"/>
      <c r="R11" s="23"/>
      <c r="S11" s="89"/>
      <c r="T11" s="25"/>
    </row>
    <row r="12" spans="2:20" ht="14" thickBot="1" x14ac:dyDescent="0.2">
      <c r="B12" s="40"/>
      <c r="C12" s="42" t="s">
        <v>25</v>
      </c>
      <c r="D12" s="44">
        <v>2</v>
      </c>
      <c r="E12" s="44" t="s">
        <v>26</v>
      </c>
      <c r="F12" s="44"/>
      <c r="G12" s="44"/>
      <c r="H12" s="44"/>
      <c r="I12" s="44"/>
      <c r="J12" s="44"/>
      <c r="K12" s="45"/>
      <c r="M12" s="46" t="s">
        <v>27</v>
      </c>
      <c r="N12" s="53">
        <v>0.02</v>
      </c>
      <c r="P12" s="22" t="s">
        <v>28</v>
      </c>
      <c r="Q12" s="23"/>
      <c r="R12" s="23"/>
      <c r="S12" s="89"/>
      <c r="T12" s="25"/>
    </row>
    <row r="13" spans="2:20" ht="14" thickBot="1" x14ac:dyDescent="0.2">
      <c r="B13" s="40"/>
      <c r="C13" s="42" t="s">
        <v>29</v>
      </c>
      <c r="D13" s="54">
        <v>0.05</v>
      </c>
      <c r="E13" s="55" t="s">
        <v>30</v>
      </c>
      <c r="F13" s="44"/>
      <c r="G13" s="44"/>
      <c r="H13" s="56">
        <v>5625</v>
      </c>
      <c r="I13" s="42" t="s">
        <v>55</v>
      </c>
      <c r="J13" s="44"/>
      <c r="K13" s="45"/>
      <c r="M13" s="46" t="s">
        <v>22</v>
      </c>
      <c r="N13" s="53">
        <f>D11</f>
        <v>0.33</v>
      </c>
      <c r="P13" s="57" t="s">
        <v>31</v>
      </c>
      <c r="Q13" s="58"/>
      <c r="R13" s="58"/>
      <c r="S13" s="59"/>
      <c r="T13" s="60"/>
    </row>
    <row r="14" spans="2:20" ht="14" thickBot="1" x14ac:dyDescent="0.2">
      <c r="B14" s="40"/>
      <c r="C14" s="44"/>
      <c r="D14" s="44"/>
      <c r="E14" s="44"/>
      <c r="F14" s="44"/>
      <c r="G14" s="44"/>
      <c r="H14" s="44"/>
      <c r="I14" s="44"/>
      <c r="J14" s="44"/>
      <c r="K14" s="45"/>
      <c r="M14" s="40"/>
      <c r="N14" s="41"/>
      <c r="Q14" s="26"/>
    </row>
    <row r="15" spans="2:20" ht="14" thickBot="1" x14ac:dyDescent="0.2">
      <c r="B15" s="40"/>
      <c r="C15" s="61" t="s">
        <v>1</v>
      </c>
      <c r="D15" s="61">
        <v>0</v>
      </c>
      <c r="E15" s="61">
        <v>1</v>
      </c>
      <c r="F15" s="61">
        <v>2</v>
      </c>
      <c r="G15" s="61">
        <v>3</v>
      </c>
      <c r="H15" s="61">
        <v>4</v>
      </c>
      <c r="I15" s="62"/>
      <c r="J15" s="62"/>
      <c r="K15" s="45"/>
      <c r="M15" s="40"/>
      <c r="N15" s="41"/>
      <c r="R15" s="63" t="s">
        <v>32</v>
      </c>
      <c r="S15" s="64"/>
    </row>
    <row r="16" spans="2:20" ht="14" thickBot="1" x14ac:dyDescent="0.2">
      <c r="B16" s="40"/>
      <c r="C16" s="34" t="s">
        <v>33</v>
      </c>
      <c r="D16" s="35"/>
      <c r="E16" s="35"/>
      <c r="F16" s="35"/>
      <c r="G16" s="35"/>
      <c r="H16" s="35"/>
      <c r="I16" s="65"/>
      <c r="J16" s="65"/>
      <c r="K16" s="45"/>
      <c r="M16" s="40"/>
      <c r="N16" s="41"/>
    </row>
    <row r="17" spans="2:20" ht="14" thickBot="1" x14ac:dyDescent="0.2">
      <c r="B17" s="40"/>
      <c r="C17" s="34" t="s">
        <v>34</v>
      </c>
      <c r="D17" s="35"/>
      <c r="E17" s="35"/>
      <c r="F17" s="35"/>
      <c r="G17" s="35"/>
      <c r="H17" s="35"/>
      <c r="I17" s="65"/>
      <c r="J17" s="65"/>
      <c r="K17" s="45"/>
      <c r="M17" s="40"/>
      <c r="N17" s="41"/>
      <c r="P17" s="109" t="s">
        <v>35</v>
      </c>
      <c r="Q17" s="110"/>
      <c r="R17" s="110"/>
      <c r="S17" s="110"/>
      <c r="T17" s="111"/>
    </row>
    <row r="18" spans="2:20" ht="14" thickBot="1" x14ac:dyDescent="0.2">
      <c r="B18" s="40"/>
      <c r="C18" s="34" t="s">
        <v>36</v>
      </c>
      <c r="D18" s="35"/>
      <c r="E18" s="35"/>
      <c r="F18" s="35"/>
      <c r="G18" s="35"/>
      <c r="H18" s="35"/>
      <c r="I18" s="65"/>
      <c r="J18" s="65"/>
      <c r="K18" s="45"/>
      <c r="M18" s="40"/>
      <c r="N18" s="41"/>
    </row>
    <row r="19" spans="2:20" ht="14" thickBot="1" x14ac:dyDescent="0.2">
      <c r="B19" s="40"/>
      <c r="C19" s="34" t="s">
        <v>37</v>
      </c>
      <c r="D19" s="35"/>
      <c r="E19" s="35"/>
      <c r="F19" s="35"/>
      <c r="G19" s="35"/>
      <c r="H19" s="35"/>
      <c r="I19" s="65"/>
      <c r="J19" s="65"/>
      <c r="K19" s="45"/>
      <c r="M19" s="22"/>
      <c r="N19" s="52"/>
      <c r="P19" s="66" t="s">
        <v>38</v>
      </c>
      <c r="S19" s="16" t="s">
        <v>39</v>
      </c>
      <c r="T19" s="28"/>
    </row>
    <row r="20" spans="2:20" ht="14" thickBot="1" x14ac:dyDescent="0.2">
      <c r="B20" s="40"/>
      <c r="C20" s="34" t="s">
        <v>40</v>
      </c>
      <c r="D20" s="35"/>
      <c r="E20" s="35"/>
      <c r="F20" s="35"/>
      <c r="G20" s="35"/>
      <c r="H20" s="35"/>
      <c r="I20" s="65"/>
      <c r="J20" s="65"/>
      <c r="K20" s="45"/>
      <c r="M20" s="67" t="s">
        <v>41</v>
      </c>
      <c r="N20" s="68"/>
      <c r="P20" s="66" t="s">
        <v>42</v>
      </c>
      <c r="S20" s="19" t="s">
        <v>43</v>
      </c>
      <c r="T20" s="21"/>
    </row>
    <row r="21" spans="2:20" ht="14" thickBot="1" x14ac:dyDescent="0.2">
      <c r="B21" s="40"/>
      <c r="C21" s="34" t="s">
        <v>29</v>
      </c>
      <c r="D21" s="69"/>
      <c r="E21" s="35"/>
      <c r="F21" s="35"/>
      <c r="G21" s="35"/>
      <c r="H21" s="35"/>
      <c r="I21" s="65"/>
      <c r="J21" s="65"/>
      <c r="K21" s="45"/>
      <c r="M21" s="67" t="s">
        <v>44</v>
      </c>
      <c r="N21" s="68"/>
    </row>
    <row r="22" spans="2:20" x14ac:dyDescent="0.15">
      <c r="B22" s="40"/>
      <c r="C22" s="34" t="s">
        <v>45</v>
      </c>
      <c r="D22" s="35"/>
      <c r="E22" s="35"/>
      <c r="F22" s="35"/>
      <c r="G22" s="35"/>
      <c r="H22" s="35"/>
      <c r="I22" s="65"/>
      <c r="J22" s="65"/>
      <c r="K22" s="45"/>
      <c r="M22" s="67" t="s">
        <v>46</v>
      </c>
      <c r="N22" s="68"/>
      <c r="O22" s="70"/>
      <c r="P22" s="91" t="s">
        <v>14</v>
      </c>
      <c r="Q22" s="93" t="s">
        <v>15</v>
      </c>
      <c r="R22" s="93" t="s">
        <v>16</v>
      </c>
      <c r="S22" s="95" t="s">
        <v>17</v>
      </c>
      <c r="T22" s="97" t="s">
        <v>18</v>
      </c>
    </row>
    <row r="23" spans="2:20" ht="14" thickBot="1" x14ac:dyDescent="0.2">
      <c r="B23" s="40"/>
      <c r="C23" s="34" t="s">
        <v>47</v>
      </c>
      <c r="D23" s="35"/>
      <c r="E23" s="35"/>
      <c r="F23" s="35"/>
      <c r="G23" s="35"/>
      <c r="H23" s="35"/>
      <c r="I23" s="65"/>
      <c r="J23" s="65"/>
      <c r="K23" s="45"/>
      <c r="M23" s="40"/>
      <c r="N23" s="41"/>
      <c r="P23" s="92"/>
      <c r="Q23" s="94"/>
      <c r="R23" s="94"/>
      <c r="S23" s="96"/>
      <c r="T23" s="98"/>
    </row>
    <row r="24" spans="2:20" ht="14" thickBot="1" x14ac:dyDescent="0.2">
      <c r="B24" s="40"/>
      <c r="C24" s="71" t="s">
        <v>48</v>
      </c>
      <c r="D24" s="72"/>
      <c r="E24" s="72"/>
      <c r="F24" s="72"/>
      <c r="G24" s="72"/>
      <c r="H24" s="72"/>
      <c r="I24" s="73"/>
      <c r="J24" s="73"/>
      <c r="K24" s="45"/>
      <c r="M24" s="74" t="s">
        <v>49</v>
      </c>
      <c r="N24" s="75"/>
      <c r="P24" s="22" t="s">
        <v>24</v>
      </c>
      <c r="Q24" s="23"/>
      <c r="R24" s="23"/>
      <c r="S24" s="24"/>
      <c r="T24" s="25"/>
    </row>
    <row r="25" spans="2:20" ht="14" thickBot="1" x14ac:dyDescent="0.2">
      <c r="B25" s="40"/>
      <c r="C25" s="34" t="s">
        <v>50</v>
      </c>
      <c r="D25" s="35"/>
      <c r="E25" s="35"/>
      <c r="F25" s="35"/>
      <c r="G25" s="35"/>
      <c r="H25" s="35"/>
      <c r="I25" s="65"/>
      <c r="J25" s="65"/>
      <c r="K25" s="45"/>
      <c r="M25" s="74" t="s">
        <v>51</v>
      </c>
      <c r="N25" s="75"/>
      <c r="P25" s="22" t="s">
        <v>28</v>
      </c>
      <c r="Q25" s="23"/>
      <c r="R25" s="23"/>
      <c r="S25" s="24"/>
      <c r="T25" s="25"/>
    </row>
    <row r="26" spans="2:20" ht="14" thickBot="1" x14ac:dyDescent="0.2">
      <c r="B26" s="40"/>
      <c r="C26" s="71" t="s">
        <v>52</v>
      </c>
      <c r="D26" s="72"/>
      <c r="E26" s="72"/>
      <c r="F26" s="72"/>
      <c r="G26" s="72"/>
      <c r="H26" s="72"/>
      <c r="I26" s="73"/>
      <c r="J26" s="73"/>
      <c r="K26" s="45"/>
      <c r="M26" s="76"/>
      <c r="N26" s="77"/>
      <c r="P26" s="16" t="s">
        <v>31</v>
      </c>
      <c r="Q26" s="29"/>
      <c r="R26" s="29"/>
      <c r="S26" s="30"/>
      <c r="T26" s="31"/>
    </row>
    <row r="27" spans="2:20" ht="14" thickBot="1" x14ac:dyDescent="0.2">
      <c r="B27" s="40"/>
      <c r="C27" s="78"/>
      <c r="D27" s="44"/>
      <c r="E27" s="44"/>
      <c r="F27" s="44"/>
      <c r="G27" s="44"/>
      <c r="H27" s="44"/>
      <c r="I27" s="44"/>
      <c r="J27" s="44"/>
      <c r="K27" s="45"/>
    </row>
    <row r="28" spans="2:20" ht="14" thickBot="1" x14ac:dyDescent="0.2">
      <c r="B28" s="40"/>
      <c r="C28" s="44"/>
      <c r="D28" s="79" t="s">
        <v>53</v>
      </c>
      <c r="E28" s="80"/>
      <c r="F28" s="44"/>
      <c r="H28" s="79" t="s">
        <v>54</v>
      </c>
      <c r="I28" s="81"/>
      <c r="K28" s="45"/>
      <c r="R28" s="82" t="s">
        <v>32</v>
      </c>
      <c r="S28" s="28"/>
    </row>
    <row r="29" spans="2:20" ht="6" customHeight="1" thickBot="1" x14ac:dyDescent="0.2">
      <c r="B29" s="40"/>
      <c r="C29" s="44"/>
      <c r="D29" s="44"/>
      <c r="E29" s="44"/>
      <c r="F29" s="44"/>
      <c r="G29" s="44"/>
      <c r="H29" s="44"/>
      <c r="I29" s="44"/>
      <c r="J29" s="44"/>
      <c r="K29" s="45"/>
      <c r="R29" s="44"/>
      <c r="S29" s="24"/>
    </row>
    <row r="30" spans="2:20" ht="14" thickBot="1" x14ac:dyDescent="0.2">
      <c r="B30" s="40"/>
      <c r="C30" s="44"/>
      <c r="D30" s="79" t="s">
        <v>53</v>
      </c>
      <c r="E30" s="80"/>
      <c r="F30" s="44"/>
      <c r="H30" s="79" t="s">
        <v>54</v>
      </c>
      <c r="I30" s="80"/>
      <c r="K30" s="45"/>
      <c r="R30" s="44"/>
      <c r="S30" s="24"/>
    </row>
    <row r="31" spans="2:20" ht="14" thickBot="1" x14ac:dyDescent="0.2">
      <c r="B31" s="76"/>
      <c r="C31" s="83"/>
      <c r="D31" s="83"/>
      <c r="E31" s="83"/>
      <c r="F31" s="83"/>
      <c r="G31" s="83"/>
      <c r="H31" s="83"/>
      <c r="I31" s="83"/>
      <c r="J31" s="83"/>
      <c r="K31" s="77"/>
    </row>
    <row r="38" spans="18:21" x14ac:dyDescent="0.15">
      <c r="S38" s="2"/>
      <c r="T38" s="87"/>
    </row>
    <row r="39" spans="18:21" x14ac:dyDescent="0.15">
      <c r="S39" s="2"/>
      <c r="T39" s="87"/>
    </row>
    <row r="40" spans="18:21" x14ac:dyDescent="0.15">
      <c r="S40" s="26"/>
      <c r="U40" s="88"/>
    </row>
    <row r="41" spans="18:21" x14ac:dyDescent="0.15">
      <c r="R41" s="2"/>
      <c r="S41" s="87"/>
    </row>
    <row r="42" spans="18:21" x14ac:dyDescent="0.15">
      <c r="R42" s="26"/>
      <c r="T42" s="88"/>
    </row>
  </sheetData>
  <mergeCells count="21">
    <mergeCell ref="P17:T17"/>
    <mergeCell ref="P22:P23"/>
    <mergeCell ref="Q22:Q23"/>
    <mergeCell ref="R22:R23"/>
    <mergeCell ref="S22:S23"/>
    <mergeCell ref="T22:T23"/>
    <mergeCell ref="B7:K7"/>
    <mergeCell ref="M7:N7"/>
    <mergeCell ref="P7:T7"/>
    <mergeCell ref="P9:P10"/>
    <mergeCell ref="Q9:Q10"/>
    <mergeCell ref="R9:R10"/>
    <mergeCell ref="S9:S10"/>
    <mergeCell ref="T9:T10"/>
    <mergeCell ref="B2:K2"/>
    <mergeCell ref="M3:N4"/>
    <mergeCell ref="P3:R3"/>
    <mergeCell ref="P4:R4"/>
    <mergeCell ref="B6:K6"/>
    <mergeCell ref="M6:N6"/>
    <mergeCell ref="P6:T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F12C-1A04-4406-977D-E5AB4114CE51}">
  <dimension ref="B1:P23"/>
  <sheetViews>
    <sheetView zoomScale="120" zoomScaleNormal="120" workbookViewId="0"/>
  </sheetViews>
  <sheetFormatPr baseColWidth="10" defaultColWidth="11.5" defaultRowHeight="13" x14ac:dyDescent="0.15"/>
  <cols>
    <col min="1" max="1" width="2.6640625" style="1" customWidth="1"/>
    <col min="2" max="2" width="20.1640625" style="1" customWidth="1"/>
    <col min="3" max="5" width="11.6640625" style="1" customWidth="1"/>
    <col min="6" max="6" width="12.83203125" style="1" customWidth="1"/>
    <col min="7" max="9" width="11.6640625" style="1" customWidth="1"/>
    <col min="10" max="10" width="13.5" style="1" customWidth="1"/>
    <col min="11" max="11" width="10.33203125" style="1" customWidth="1"/>
    <col min="12" max="12" width="9.6640625" style="1" customWidth="1"/>
    <col min="13" max="13" width="10.5" style="1" bestFit="1" customWidth="1"/>
    <col min="14" max="14" width="10.83203125" style="1" bestFit="1" customWidth="1"/>
    <col min="15" max="16" width="9" style="1" customWidth="1"/>
    <col min="17" max="16384" width="11.5" style="1"/>
  </cols>
  <sheetData>
    <row r="1" spans="2:16" ht="8.5" customHeight="1" x14ac:dyDescent="0.15"/>
    <row r="2" spans="2:16" x14ac:dyDescent="0.15">
      <c r="B2" s="1" t="s">
        <v>56</v>
      </c>
      <c r="I2" s="2"/>
    </row>
    <row r="3" spans="2:16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3"/>
      <c r="P3" s="3"/>
    </row>
    <row r="4" spans="2:16" ht="16.5" customHeight="1" x14ac:dyDescent="0.15">
      <c r="B4" s="34" t="s">
        <v>57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3"/>
      <c r="P4" s="3"/>
    </row>
    <row r="5" spans="2:16" ht="14" thickBot="1" x14ac:dyDescent="0.2"/>
    <row r="6" spans="2:16" ht="15" customHeight="1" thickBot="1" x14ac:dyDescent="0.2">
      <c r="B6" s="1" t="s">
        <v>58</v>
      </c>
      <c r="L6" s="144" t="s">
        <v>2</v>
      </c>
      <c r="M6" s="145"/>
    </row>
    <row r="7" spans="2:16" ht="28.5" customHeight="1" thickBot="1" x14ac:dyDescent="0.2">
      <c r="B7" s="148" t="s">
        <v>14</v>
      </c>
      <c r="C7" s="149"/>
      <c r="D7" s="4" t="s">
        <v>12</v>
      </c>
      <c r="E7" s="4" t="s">
        <v>59</v>
      </c>
      <c r="F7" s="149" t="s">
        <v>60</v>
      </c>
      <c r="G7" s="149"/>
      <c r="H7" s="149"/>
      <c r="I7" s="149"/>
      <c r="J7" s="150"/>
      <c r="L7" s="146"/>
      <c r="M7" s="147"/>
    </row>
    <row r="8" spans="2:16" ht="14" thickBot="1" x14ac:dyDescent="0.2">
      <c r="B8" s="136" t="s">
        <v>61</v>
      </c>
      <c r="C8" s="137"/>
      <c r="D8" s="6">
        <v>15000</v>
      </c>
      <c r="E8" s="7">
        <v>0.08</v>
      </c>
      <c r="F8" s="138" t="s">
        <v>62</v>
      </c>
      <c r="G8" s="138"/>
      <c r="H8" s="138"/>
      <c r="I8" s="138"/>
      <c r="J8" s="139"/>
    </row>
    <row r="9" spans="2:16" ht="14" thickBot="1" x14ac:dyDescent="0.2">
      <c r="B9" s="136" t="s">
        <v>63</v>
      </c>
      <c r="C9" s="137"/>
      <c r="D9" s="6">
        <v>30000</v>
      </c>
      <c r="E9" s="7">
        <v>0.1</v>
      </c>
      <c r="F9" s="138" t="s">
        <v>62</v>
      </c>
      <c r="G9" s="138"/>
      <c r="H9" s="138"/>
      <c r="I9" s="138"/>
      <c r="J9" s="139"/>
      <c r="L9" s="8" t="s">
        <v>64</v>
      </c>
      <c r="M9" s="9"/>
    </row>
    <row r="10" spans="2:16" ht="14" thickBot="1" x14ac:dyDescent="0.2">
      <c r="B10" s="136" t="s">
        <v>65</v>
      </c>
      <c r="C10" s="137"/>
      <c r="D10" s="6">
        <v>50000</v>
      </c>
      <c r="E10" s="7">
        <v>0.11</v>
      </c>
      <c r="F10" s="138" t="s">
        <v>66</v>
      </c>
      <c r="G10" s="138"/>
      <c r="H10" s="138"/>
      <c r="I10" s="138"/>
      <c r="J10" s="139"/>
      <c r="L10" s="10" t="s">
        <v>67</v>
      </c>
      <c r="M10" s="11"/>
    </row>
    <row r="11" spans="2:16" x14ac:dyDescent="0.15">
      <c r="B11" s="136" t="s">
        <v>68</v>
      </c>
      <c r="C11" s="137"/>
      <c r="D11" s="6">
        <v>70000</v>
      </c>
      <c r="E11" s="7">
        <v>0.12</v>
      </c>
      <c r="F11" s="138" t="s">
        <v>69</v>
      </c>
      <c r="G11" s="138"/>
      <c r="H11" s="138"/>
      <c r="I11" s="138"/>
      <c r="J11" s="139"/>
    </row>
    <row r="12" spans="2:16" ht="14" x14ac:dyDescent="0.15">
      <c r="B12" s="136" t="s">
        <v>70</v>
      </c>
      <c r="C12" s="137"/>
      <c r="D12" s="5" t="s">
        <v>71</v>
      </c>
      <c r="E12" s="7">
        <v>0.15</v>
      </c>
      <c r="F12" s="138" t="s">
        <v>62</v>
      </c>
      <c r="G12" s="138"/>
      <c r="H12" s="138"/>
      <c r="I12" s="138"/>
      <c r="J12" s="139"/>
    </row>
    <row r="13" spans="2:16" ht="15" thickBot="1" x14ac:dyDescent="0.2">
      <c r="B13" s="140" t="s">
        <v>72</v>
      </c>
      <c r="C13" s="141"/>
      <c r="D13" s="12" t="s">
        <v>71</v>
      </c>
      <c r="E13" s="13">
        <v>0.16</v>
      </c>
      <c r="F13" s="142" t="s">
        <v>73</v>
      </c>
      <c r="G13" s="142"/>
      <c r="H13" s="142"/>
      <c r="I13" s="142"/>
      <c r="J13" s="143"/>
    </row>
    <row r="14" spans="2:16" x14ac:dyDescent="0.15">
      <c r="B14" s="14" t="s">
        <v>74</v>
      </c>
    </row>
    <row r="15" spans="2:16" ht="13.5" customHeight="1" thickBot="1" x14ac:dyDescent="0.2">
      <c r="I15" s="15" t="s">
        <v>75</v>
      </c>
      <c r="J15" s="15" t="s">
        <v>76</v>
      </c>
    </row>
    <row r="16" spans="2:16" ht="14" thickBot="1" x14ac:dyDescent="0.2">
      <c r="B16" s="91" t="s">
        <v>14</v>
      </c>
      <c r="C16" s="93" t="s">
        <v>15</v>
      </c>
      <c r="D16" s="93" t="s">
        <v>16</v>
      </c>
      <c r="E16" s="95" t="s">
        <v>17</v>
      </c>
      <c r="F16" s="97" t="s">
        <v>18</v>
      </c>
      <c r="H16" s="16" t="s">
        <v>39</v>
      </c>
      <c r="I16" s="17"/>
      <c r="J16" s="18"/>
    </row>
    <row r="17" spans="2:16" ht="14" thickBot="1" x14ac:dyDescent="0.2">
      <c r="B17" s="92"/>
      <c r="C17" s="94"/>
      <c r="D17" s="94"/>
      <c r="E17" s="96"/>
      <c r="F17" s="98"/>
      <c r="H17" s="19" t="s">
        <v>43</v>
      </c>
      <c r="I17" s="20"/>
      <c r="J17" s="21"/>
    </row>
    <row r="18" spans="2:16" ht="14" thickBot="1" x14ac:dyDescent="0.2">
      <c r="B18" s="22" t="s">
        <v>63</v>
      </c>
      <c r="C18" s="23"/>
      <c r="D18" s="23"/>
      <c r="E18" s="24"/>
      <c r="F18" s="25"/>
      <c r="P18" s="26"/>
    </row>
    <row r="19" spans="2:16" ht="14" thickBot="1" x14ac:dyDescent="0.2">
      <c r="B19" s="22" t="s">
        <v>65</v>
      </c>
      <c r="C19" s="23"/>
      <c r="D19" s="23"/>
      <c r="E19" s="24"/>
      <c r="F19" s="25"/>
      <c r="H19" s="27" t="s">
        <v>32</v>
      </c>
      <c r="I19" s="28"/>
      <c r="P19" s="26"/>
    </row>
    <row r="20" spans="2:16" ht="14" thickBot="1" x14ac:dyDescent="0.2">
      <c r="B20" s="22" t="s">
        <v>68</v>
      </c>
      <c r="C20" s="23"/>
      <c r="D20" s="23"/>
      <c r="E20" s="24"/>
      <c r="F20" s="25"/>
      <c r="H20" s="27" t="s">
        <v>32</v>
      </c>
      <c r="I20" s="28"/>
      <c r="P20" s="26"/>
    </row>
    <row r="21" spans="2:16" x14ac:dyDescent="0.15">
      <c r="B21" s="22" t="s">
        <v>70</v>
      </c>
      <c r="C21" s="23"/>
      <c r="D21" s="23"/>
      <c r="E21" s="24"/>
      <c r="F21" s="25"/>
      <c r="H21" s="62"/>
      <c r="I21" s="24"/>
      <c r="P21" s="26"/>
    </row>
    <row r="22" spans="2:16" ht="14" thickBot="1" x14ac:dyDescent="0.2">
      <c r="B22" s="22" t="s">
        <v>72</v>
      </c>
      <c r="C22" s="23"/>
      <c r="D22" s="23"/>
      <c r="E22" s="24"/>
      <c r="F22" s="25"/>
      <c r="I22" s="24"/>
      <c r="P22" s="26"/>
    </row>
    <row r="23" spans="2:16" ht="14" thickBot="1" x14ac:dyDescent="0.2">
      <c r="B23" s="16" t="s">
        <v>31</v>
      </c>
      <c r="C23" s="29"/>
      <c r="D23" s="29"/>
      <c r="E23" s="90"/>
      <c r="F23" s="31"/>
    </row>
  </sheetData>
  <mergeCells count="20">
    <mergeCell ref="B10:C10"/>
    <mergeCell ref="F10:J10"/>
    <mergeCell ref="L6:M7"/>
    <mergeCell ref="B7:C7"/>
    <mergeCell ref="F7:J7"/>
    <mergeCell ref="B8:C8"/>
    <mergeCell ref="F8:J8"/>
    <mergeCell ref="B9:C9"/>
    <mergeCell ref="F9:J9"/>
    <mergeCell ref="B11:C11"/>
    <mergeCell ref="F11:J11"/>
    <mergeCell ref="B12:C12"/>
    <mergeCell ref="F12:J12"/>
    <mergeCell ref="B13:C13"/>
    <mergeCell ref="F13:J13"/>
    <mergeCell ref="B16:B17"/>
    <mergeCell ref="C16:C17"/>
    <mergeCell ref="D16:D17"/>
    <mergeCell ref="E16:E17"/>
    <mergeCell ref="F16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WACC (Ejercicio 1)</vt:lpstr>
      <vt:lpstr>WACC (Ejercicio 1.2)</vt:lpstr>
      <vt:lpstr>WACC (Ejercicio 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Joseph Sanchez Oyola</dc:creator>
  <cp:keywords/>
  <dc:description/>
  <cp:lastModifiedBy>Brigitte Castañeda Rodriguez</cp:lastModifiedBy>
  <cp:revision/>
  <dcterms:created xsi:type="dcterms:W3CDTF">2019-10-24T14:03:51Z</dcterms:created>
  <dcterms:modified xsi:type="dcterms:W3CDTF">2026-04-24T17:13:02Z</dcterms:modified>
  <cp:category/>
  <cp:contentStatus/>
</cp:coreProperties>
</file>