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k_castaneda_uniandes_edu_co/Documents/2026-10/ANADEC/Presentaciones/2. Módulo 2 - Concepto de Interés/"/>
    </mc:Choice>
  </mc:AlternateContent>
  <xr:revisionPtr revIDLastSave="15" documentId="8_{F289002E-ECFE-3D41-8C68-C1FBDCF6F28B}" xr6:coauthVersionLast="47" xr6:coauthVersionMax="47" xr10:uidLastSave="{12CE543F-2D63-9146-8502-1CA1CC90030F}"/>
  <bookViews>
    <workbookView xWindow="38400" yWindow="-3340" windowWidth="51200" windowHeight="26220" activeTab="4" xr2:uid="{7B636375-C5FB-0848-92D6-7C07BB157D48}"/>
  </bookViews>
  <sheets>
    <sheet name="real" sheetId="1" r:id="rId1"/>
    <sheet name="E1" sheetId="2" r:id="rId2"/>
    <sheet name="E2" sheetId="3" r:id="rId3"/>
    <sheet name="E3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2" i="5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G5" i="4"/>
  <c r="A9" i="4"/>
  <c r="B9" i="4" s="1"/>
  <c r="C5" i="4"/>
  <c r="B8" i="4"/>
  <c r="E5" i="4"/>
  <c r="A8" i="4"/>
  <c r="C8" i="4" s="1"/>
  <c r="D6" i="4"/>
  <c r="D5" i="4"/>
  <c r="A7" i="4"/>
  <c r="C7" i="4" s="1"/>
  <c r="F3" i="4"/>
  <c r="F5" i="4"/>
  <c r="B6" i="4"/>
  <c r="A6" i="4"/>
  <c r="G6" i="4" s="1"/>
  <c r="B5" i="4"/>
  <c r="A3" i="4"/>
  <c r="G3" i="4" s="1"/>
  <c r="E4" i="3"/>
  <c r="D5" i="3"/>
  <c r="E5" i="3" s="1"/>
  <c r="D6" i="3"/>
  <c r="E6" i="3" s="1"/>
  <c r="D7" i="3"/>
  <c r="E7" i="3" s="1"/>
  <c r="D8" i="3"/>
  <c r="E8" i="3" s="1"/>
  <c r="D4" i="3"/>
  <c r="B2" i="2"/>
  <c r="C2" i="2" s="1"/>
  <c r="D2" i="2" s="1"/>
  <c r="E2" i="2" s="1"/>
  <c r="E5" i="1"/>
  <c r="E6" i="1"/>
  <c r="E11" i="1"/>
  <c r="E12" i="1"/>
  <c r="E13" i="1"/>
  <c r="E14" i="1"/>
  <c r="E19" i="1"/>
  <c r="E20" i="1"/>
  <c r="E21" i="1"/>
  <c r="E22" i="1"/>
  <c r="E27" i="1"/>
  <c r="E28" i="1"/>
  <c r="E29" i="1"/>
  <c r="E30" i="1"/>
  <c r="E3" i="1"/>
  <c r="C5" i="1"/>
  <c r="C6" i="1"/>
  <c r="C7" i="1"/>
  <c r="E7" i="1" s="1"/>
  <c r="C8" i="1"/>
  <c r="E8" i="1" s="1"/>
  <c r="C9" i="1"/>
  <c r="E9" i="1" s="1"/>
  <c r="C10" i="1"/>
  <c r="E10" i="1" s="1"/>
  <c r="C11" i="1"/>
  <c r="C12" i="1"/>
  <c r="C13" i="1"/>
  <c r="C14" i="1"/>
  <c r="C15" i="1"/>
  <c r="E15" i="1" s="1"/>
  <c r="C16" i="1"/>
  <c r="E16" i="1" s="1"/>
  <c r="C17" i="1"/>
  <c r="E17" i="1" s="1"/>
  <c r="C18" i="1"/>
  <c r="E18" i="1" s="1"/>
  <c r="C19" i="1"/>
  <c r="C20" i="1"/>
  <c r="C21" i="1"/>
  <c r="C22" i="1"/>
  <c r="C23" i="1"/>
  <c r="E23" i="1" s="1"/>
  <c r="C24" i="1"/>
  <c r="E24" i="1" s="1"/>
  <c r="C25" i="1"/>
  <c r="E25" i="1" s="1"/>
  <c r="C26" i="1"/>
  <c r="E26" i="1" s="1"/>
  <c r="C27" i="1"/>
  <c r="C28" i="1"/>
  <c r="C29" i="1"/>
  <c r="C30" i="1"/>
  <c r="C31" i="1"/>
  <c r="E31" i="1" s="1"/>
  <c r="C32" i="1"/>
  <c r="E32" i="1" s="1"/>
  <c r="C4" i="1"/>
  <c r="E4" i="1" s="1"/>
  <c r="A4" i="4"/>
  <c r="B4" i="4" s="1"/>
  <c r="E6" i="4" l="1"/>
  <c r="C6" i="4"/>
  <c r="E9" i="4"/>
  <c r="E7" i="4"/>
  <c r="D8" i="4"/>
  <c r="F9" i="4"/>
  <c r="C3" i="4"/>
  <c r="E4" i="4"/>
  <c r="F7" i="4"/>
  <c r="D4" i="4"/>
  <c r="E3" i="4"/>
  <c r="F8" i="4"/>
  <c r="G8" i="4"/>
  <c r="G7" i="4"/>
  <c r="D3" i="4"/>
  <c r="B7" i="4"/>
  <c r="D9" i="4"/>
  <c r="F4" i="4"/>
  <c r="C9" i="4"/>
  <c r="G4" i="4"/>
</calcChain>
</file>

<file path=xl/sharedStrings.xml><?xml version="1.0" encoding="utf-8"?>
<sst xmlns="http://schemas.openxmlformats.org/spreadsheetml/2006/main" count="33" uniqueCount="28">
  <si>
    <t>Año</t>
  </si>
  <si>
    <t>Salario mínimo</t>
  </si>
  <si>
    <t>corrientes</t>
  </si>
  <si>
    <t>Variación Salario</t>
  </si>
  <si>
    <t>Variación IPC</t>
  </si>
  <si>
    <t>real</t>
  </si>
  <si>
    <t>SA</t>
  </si>
  <si>
    <t>SE</t>
  </si>
  <si>
    <t>EA</t>
  </si>
  <si>
    <t>AA</t>
  </si>
  <si>
    <t>NA</t>
  </si>
  <si>
    <t>Precio</t>
  </si>
  <si>
    <t>Inflación</t>
  </si>
  <si>
    <t>Crecimiento</t>
  </si>
  <si>
    <t>Variación del IPC</t>
  </si>
  <si>
    <t>Crecimiento Nominal</t>
  </si>
  <si>
    <t>Crecimiento Real</t>
  </si>
  <si>
    <t xml:space="preserve">Variación Salario </t>
  </si>
  <si>
    <t>Efectivo Anual</t>
  </si>
  <si>
    <t>NA/SV</t>
  </si>
  <si>
    <t>NA/TV</t>
  </si>
  <si>
    <t>Efectivo Mensual</t>
  </si>
  <si>
    <t>NB/MV</t>
  </si>
  <si>
    <t>NA/TA</t>
  </si>
  <si>
    <t>Anual</t>
  </si>
  <si>
    <t>Continua</t>
  </si>
  <si>
    <t>iv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</si>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</sst>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name val="Arial"/>
      <family val="2"/>
    </font>
    <font>
      <sz val="10"/>
      <color rgb="FF000000"/>
      <name val="Century Gothic"/>
      <family val="1"/>
    </font>
    <font>
      <b/>
      <sz val="11"/>
      <color rgb="FF366658"/>
      <name val="Century Gothic"/>
      <family val="1"/>
    </font>
    <font>
      <b/>
      <sz val="11"/>
      <color rgb="FFFF0000"/>
      <name val="Century Gothic"/>
      <family val="1"/>
    </font>
    <font>
      <b/>
      <sz val="16"/>
      <color rgb="FFFFFFFF"/>
      <name val="Century Gothic"/>
      <family val="1"/>
    </font>
    <font>
      <b/>
      <sz val="16"/>
      <color rgb="FF366658"/>
      <name val="Century Gothic"/>
      <family val="1"/>
    </font>
    <font>
      <sz val="16"/>
      <color rgb="FF366658"/>
      <name val="Century Gothic"/>
      <family val="1"/>
    </font>
    <font>
      <b/>
      <sz val="16"/>
      <color rgb="FF000000"/>
      <name val="Century Gothic"/>
      <family val="1"/>
    </font>
  </fonts>
  <fills count="7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  <fill>
      <patternFill patternType="solid">
        <fgColor rgb="FF366658"/>
        <bgColor indexed="64"/>
      </patternFill>
    </fill>
    <fill>
      <patternFill patternType="solid">
        <fgColor rgb="FFB8E6CB"/>
        <bgColor indexed="64"/>
      </patternFill>
    </fill>
    <fill>
      <patternFill patternType="solid">
        <fgColor rgb="FFA1561F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 style="medium">
        <color rgb="FF512B10"/>
      </left>
      <right style="medium">
        <color rgb="FF512B10"/>
      </right>
      <top style="medium">
        <color rgb="FF512B10"/>
      </top>
      <bottom style="medium">
        <color rgb="FF512B10"/>
      </bottom>
      <diagonal/>
    </border>
    <border>
      <left style="medium">
        <color rgb="FF512B10"/>
      </left>
      <right/>
      <top style="medium">
        <color rgb="FF512B10"/>
      </top>
      <bottom style="medium">
        <color rgb="FF512B10"/>
      </bottom>
      <diagonal/>
    </border>
    <border>
      <left/>
      <right style="medium">
        <color rgb="FF512B10"/>
      </right>
      <top style="medium">
        <color rgb="FF512B10"/>
      </top>
      <bottom style="medium">
        <color rgb="FF512B1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wrapText="1" readingOrder="1"/>
    </xf>
    <xf numFmtId="6" fontId="3" fillId="2" borderId="1" xfId="0" applyNumberFormat="1" applyFont="1" applyFill="1" applyBorder="1" applyAlignment="1">
      <alignment horizontal="center" wrapText="1" readingOrder="1"/>
    </xf>
    <xf numFmtId="0" fontId="4" fillId="2" borderId="1" xfId="0" applyFont="1" applyFill="1" applyBorder="1" applyAlignment="1">
      <alignment horizontal="center" wrapText="1" readingOrder="1"/>
    </xf>
    <xf numFmtId="0" fontId="5" fillId="2" borderId="1" xfId="0" applyFont="1" applyFill="1" applyBorder="1" applyAlignment="1">
      <alignment horizontal="center" wrapText="1" readingOrder="1"/>
    </xf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6" fillId="3" borderId="3" xfId="0" applyFont="1" applyFill="1" applyBorder="1" applyAlignment="1">
      <alignment horizontal="center" vertical="center" wrapText="1" readingOrder="1"/>
    </xf>
    <xf numFmtId="0" fontId="7" fillId="4" borderId="3" xfId="0" applyFont="1" applyFill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6" fontId="8" fillId="0" borderId="3" xfId="0" applyNumberFormat="1" applyFont="1" applyBorder="1" applyAlignment="1">
      <alignment horizontal="center" vertical="center" wrapText="1" readingOrder="1"/>
    </xf>
    <xf numFmtId="10" fontId="8" fillId="0" borderId="3" xfId="0" applyNumberFormat="1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top" wrapText="1"/>
    </xf>
    <xf numFmtId="6" fontId="2" fillId="0" borderId="3" xfId="0" applyNumberFormat="1" applyFont="1" applyBorder="1" applyAlignment="1">
      <alignment horizontal="center" vertical="top" wrapText="1"/>
    </xf>
    <xf numFmtId="10" fontId="2" fillId="0" borderId="3" xfId="0" applyNumberFormat="1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0" fontId="0" fillId="0" borderId="0" xfId="0" applyNumberFormat="1" applyAlignment="1">
      <alignment horizontal="center"/>
    </xf>
    <xf numFmtId="0" fontId="6" fillId="5" borderId="7" xfId="0" applyFont="1" applyFill="1" applyBorder="1" applyAlignment="1">
      <alignment horizontal="center" vertical="center" wrapText="1" readingOrder="1"/>
    </xf>
    <xf numFmtId="0" fontId="6" fillId="5" borderId="8" xfId="0" applyFont="1" applyFill="1" applyBorder="1" applyAlignment="1">
      <alignment horizontal="center" vertical="center" wrapText="1" readingOrder="1"/>
    </xf>
    <xf numFmtId="10" fontId="2" fillId="0" borderId="6" xfId="1" applyNumberFormat="1" applyFont="1" applyBorder="1" applyAlignment="1">
      <alignment horizontal="center" vertical="center" wrapText="1"/>
    </xf>
    <xf numFmtId="10" fontId="9" fillId="6" borderId="6" xfId="1" applyNumberFormat="1" applyFont="1" applyFill="1" applyBorder="1" applyAlignment="1">
      <alignment horizontal="center" wrapText="1" readingOrder="1"/>
    </xf>
    <xf numFmtId="8" fontId="0" fillId="0" borderId="0" xfId="0" applyNumberFormat="1"/>
    <xf numFmtId="0" fontId="4" fillId="2" borderId="2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3" borderId="5" xfId="0" applyFont="1" applyFill="1" applyBorder="1" applyAlignment="1">
      <alignment horizontal="center" vertical="center" wrapText="1" readingOrder="1"/>
    </xf>
    <xf numFmtId="0" fontId="6" fillId="5" borderId="7" xfId="0" applyFont="1" applyFill="1" applyBorder="1" applyAlignment="1">
      <alignment horizontal="center" vertical="center" wrapText="1" readingOrder="1"/>
    </xf>
    <xf numFmtId="0" fontId="6" fillId="5" borderId="8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AE1B-CB51-D246-BF8F-E4593CFDD345}">
  <dimension ref="A1:F32"/>
  <sheetViews>
    <sheetView workbookViewId="0">
      <selection activeCell="F34" sqref="F34"/>
    </sheetView>
  </sheetViews>
  <sheetFormatPr baseColWidth="10" defaultRowHeight="16" x14ac:dyDescent="0.2"/>
  <cols>
    <col min="2" max="2" width="19.33203125" customWidth="1"/>
    <col min="3" max="3" width="17.6640625" customWidth="1"/>
    <col min="4" max="4" width="17" customWidth="1"/>
    <col min="5" max="5" width="19" style="8" customWidth="1"/>
    <col min="6" max="6" width="15.1640625" customWidth="1"/>
  </cols>
  <sheetData>
    <row r="1" spans="1:6" ht="32" customHeight="1" thickBot="1" x14ac:dyDescent="0.25">
      <c r="A1" s="3" t="s">
        <v>0</v>
      </c>
      <c r="B1" s="3" t="s">
        <v>1</v>
      </c>
      <c r="C1" s="3" t="s">
        <v>17</v>
      </c>
      <c r="D1" s="27" t="s">
        <v>4</v>
      </c>
      <c r="E1" s="19" t="s">
        <v>3</v>
      </c>
      <c r="F1" s="3" t="s">
        <v>1</v>
      </c>
    </row>
    <row r="2" spans="1:6" ht="17" thickBot="1" x14ac:dyDescent="0.25">
      <c r="A2" s="3"/>
      <c r="B2" s="4" t="s">
        <v>2</v>
      </c>
      <c r="C2" s="4" t="s">
        <v>2</v>
      </c>
      <c r="D2" s="28"/>
      <c r="E2" s="20" t="s">
        <v>5</v>
      </c>
      <c r="F2" s="4" t="s">
        <v>5</v>
      </c>
    </row>
    <row r="3" spans="1:6" ht="17" thickBot="1" x14ac:dyDescent="0.25">
      <c r="A3" s="1">
        <v>1997</v>
      </c>
      <c r="B3" s="2">
        <v>172005</v>
      </c>
      <c r="C3" s="9"/>
      <c r="D3" s="10">
        <v>0.17680000000000001</v>
      </c>
      <c r="E3" s="21">
        <f>C3-D3</f>
        <v>-0.17680000000000001</v>
      </c>
      <c r="F3" s="26"/>
    </row>
    <row r="4" spans="1:6" ht="17" thickBot="1" x14ac:dyDescent="0.25">
      <c r="A4" s="1">
        <v>1998</v>
      </c>
      <c r="B4" s="2">
        <v>203825</v>
      </c>
      <c r="C4" s="10">
        <f>(B4-B3)/B3</f>
        <v>0.18499462224935323</v>
      </c>
      <c r="D4" s="10">
        <v>0.16700000000000001</v>
      </c>
      <c r="E4" s="21">
        <f t="shared" ref="E4:E32" si="0">C4-D4</f>
        <v>1.799462224935322E-2</v>
      </c>
      <c r="F4" s="26">
        <f t="shared" ref="F4:F32" si="1">B4/((1+D4)*(1+E4))</f>
        <v>171569.90515571178</v>
      </c>
    </row>
    <row r="5" spans="1:6" ht="17" thickBot="1" x14ac:dyDescent="0.25">
      <c r="A5" s="1">
        <v>1999</v>
      </c>
      <c r="B5" s="2">
        <v>236438</v>
      </c>
      <c r="C5" s="10">
        <f t="shared" ref="C5:C32" si="2">(B5-B4)/B4</f>
        <v>0.16000490616950816</v>
      </c>
      <c r="D5" s="10">
        <v>9.2299999999999993E-2</v>
      </c>
      <c r="E5" s="21">
        <f t="shared" si="0"/>
        <v>6.7704906169508167E-2</v>
      </c>
      <c r="F5" s="26">
        <f t="shared" si="1"/>
        <v>202732.84036720885</v>
      </c>
    </row>
    <row r="6" spans="1:6" ht="17" thickBot="1" x14ac:dyDescent="0.25">
      <c r="A6" s="1">
        <v>2000</v>
      </c>
      <c r="B6" s="2">
        <v>260100</v>
      </c>
      <c r="C6" s="10">
        <f t="shared" si="2"/>
        <v>0.10007697578223466</v>
      </c>
      <c r="D6" s="10">
        <v>8.7499999999999994E-2</v>
      </c>
      <c r="E6" s="21">
        <f t="shared" si="0"/>
        <v>1.257697578223467E-2</v>
      </c>
      <c r="F6" s="26">
        <f t="shared" si="1"/>
        <v>236201.71059917522</v>
      </c>
    </row>
    <row r="7" spans="1:6" ht="17" thickBot="1" x14ac:dyDescent="0.25">
      <c r="A7" s="1">
        <v>2001</v>
      </c>
      <c r="B7" s="2">
        <v>286000</v>
      </c>
      <c r="C7" s="10">
        <f t="shared" si="2"/>
        <v>9.9577085736255289E-2</v>
      </c>
      <c r="D7" s="10">
        <v>7.6499999999999999E-2</v>
      </c>
      <c r="E7" s="21">
        <f t="shared" si="0"/>
        <v>2.307708573625529E-2</v>
      </c>
      <c r="F7" s="26">
        <f t="shared" si="1"/>
        <v>259683.07267523662</v>
      </c>
    </row>
    <row r="8" spans="1:6" ht="17" thickBot="1" x14ac:dyDescent="0.25">
      <c r="A8" s="1">
        <v>2002</v>
      </c>
      <c r="B8" s="2">
        <v>309000</v>
      </c>
      <c r="C8" s="10">
        <f t="shared" si="2"/>
        <v>8.0419580419580416E-2</v>
      </c>
      <c r="D8" s="10">
        <v>6.9900000000000004E-2</v>
      </c>
      <c r="E8" s="21">
        <f t="shared" si="0"/>
        <v>1.0519580419580413E-2</v>
      </c>
      <c r="F8" s="26">
        <f t="shared" si="1"/>
        <v>285805.48472732556</v>
      </c>
    </row>
    <row r="9" spans="1:6" ht="17" thickBot="1" x14ac:dyDescent="0.25">
      <c r="A9" s="1">
        <v>2003</v>
      </c>
      <c r="B9" s="2">
        <v>332000</v>
      </c>
      <c r="C9" s="10">
        <f t="shared" si="2"/>
        <v>7.4433656957928807E-2</v>
      </c>
      <c r="D9" s="10">
        <v>6.4899999999999999E-2</v>
      </c>
      <c r="E9" s="21">
        <f t="shared" si="0"/>
        <v>9.5336569579288072E-3</v>
      </c>
      <c r="F9" s="26">
        <f t="shared" si="1"/>
        <v>308822.15851846093</v>
      </c>
    </row>
    <row r="10" spans="1:6" ht="17" thickBot="1" x14ac:dyDescent="0.25">
      <c r="A10" s="1">
        <v>2004</v>
      </c>
      <c r="B10" s="2">
        <v>358000</v>
      </c>
      <c r="C10" s="10">
        <f t="shared" si="2"/>
        <v>7.8313253012048195E-2</v>
      </c>
      <c r="D10" s="10">
        <v>5.5E-2</v>
      </c>
      <c r="E10" s="21">
        <f t="shared" si="0"/>
        <v>2.3313253012048195E-2</v>
      </c>
      <c r="F10" s="26">
        <f t="shared" si="1"/>
        <v>331605.68564140354</v>
      </c>
    </row>
    <row r="11" spans="1:6" ht="17" thickBot="1" x14ac:dyDescent="0.25">
      <c r="A11" s="1">
        <v>2005</v>
      </c>
      <c r="B11" s="2">
        <v>381500</v>
      </c>
      <c r="C11" s="10">
        <f t="shared" si="2"/>
        <v>6.5642458100558659E-2</v>
      </c>
      <c r="D11" s="10">
        <v>4.8500000000000001E-2</v>
      </c>
      <c r="E11" s="21">
        <f t="shared" si="0"/>
        <v>1.7142458100558658E-2</v>
      </c>
      <c r="F11" s="26">
        <f t="shared" si="1"/>
        <v>357720.90783551178</v>
      </c>
    </row>
    <row r="12" spans="1:6" ht="17" thickBot="1" x14ac:dyDescent="0.25">
      <c r="A12" s="1">
        <v>2006</v>
      </c>
      <c r="B12" s="2">
        <v>408000</v>
      </c>
      <c r="C12" s="10">
        <f t="shared" si="2"/>
        <v>6.9462647444298822E-2</v>
      </c>
      <c r="D12" s="10">
        <v>4.48E-2</v>
      </c>
      <c r="E12" s="21">
        <f t="shared" si="0"/>
        <v>2.4662647444298823E-2</v>
      </c>
      <c r="F12" s="26">
        <f t="shared" si="1"/>
        <v>381106.27029440599</v>
      </c>
    </row>
    <row r="13" spans="1:6" ht="17" thickBot="1" x14ac:dyDescent="0.25">
      <c r="A13" s="1">
        <v>2007</v>
      </c>
      <c r="B13" s="2">
        <v>433700</v>
      </c>
      <c r="C13" s="10">
        <f t="shared" si="2"/>
        <v>6.2990196078431371E-2</v>
      </c>
      <c r="D13" s="10">
        <v>5.6899999999999999E-2</v>
      </c>
      <c r="E13" s="21">
        <f t="shared" si="0"/>
        <v>6.0901960784313716E-3</v>
      </c>
      <c r="F13" s="26">
        <f t="shared" si="1"/>
        <v>407867.0363618168</v>
      </c>
    </row>
    <row r="14" spans="1:6" ht="17" thickBot="1" x14ac:dyDescent="0.25">
      <c r="A14" s="1">
        <v>2008</v>
      </c>
      <c r="B14" s="2">
        <v>461500</v>
      </c>
      <c r="C14" s="10">
        <f t="shared" si="2"/>
        <v>6.4099608023979709E-2</v>
      </c>
      <c r="D14" s="10">
        <v>7.6700000000000004E-2</v>
      </c>
      <c r="E14" s="21">
        <f t="shared" si="0"/>
        <v>-1.2600391976020295E-2</v>
      </c>
      <c r="F14" s="26">
        <f t="shared" si="1"/>
        <v>434094.25860237912</v>
      </c>
    </row>
    <row r="15" spans="1:6" ht="17" thickBot="1" x14ac:dyDescent="0.25">
      <c r="A15" s="1">
        <v>2009</v>
      </c>
      <c r="B15" s="2">
        <v>496900</v>
      </c>
      <c r="C15" s="10">
        <f t="shared" si="2"/>
        <v>7.6706392199349951E-2</v>
      </c>
      <c r="D15" s="10">
        <v>0.02</v>
      </c>
      <c r="E15" s="21">
        <f t="shared" si="0"/>
        <v>5.6706392199349948E-2</v>
      </c>
      <c r="F15" s="26">
        <f t="shared" si="1"/>
        <v>461014.39940300357</v>
      </c>
    </row>
    <row r="16" spans="1:6" ht="17" thickBot="1" x14ac:dyDescent="0.25">
      <c r="A16" s="1">
        <v>2010</v>
      </c>
      <c r="B16" s="2">
        <v>515000</v>
      </c>
      <c r="C16" s="10">
        <f t="shared" si="2"/>
        <v>3.6425840209297643E-2</v>
      </c>
      <c r="D16" s="10">
        <v>3.1699999999999999E-2</v>
      </c>
      <c r="E16" s="21">
        <f t="shared" si="0"/>
        <v>4.7258402092976437E-3</v>
      </c>
      <c r="F16" s="26">
        <f t="shared" si="1"/>
        <v>496828.18646757992</v>
      </c>
    </row>
    <row r="17" spans="1:6" ht="17" thickBot="1" x14ac:dyDescent="0.25">
      <c r="A17" s="1">
        <v>2011</v>
      </c>
      <c r="B17" s="2">
        <v>535600</v>
      </c>
      <c r="C17" s="10">
        <f t="shared" si="2"/>
        <v>0.04</v>
      </c>
      <c r="D17" s="10">
        <v>3.73E-2</v>
      </c>
      <c r="E17" s="21">
        <f t="shared" si="0"/>
        <v>2.700000000000001E-3</v>
      </c>
      <c r="F17" s="26">
        <f t="shared" si="1"/>
        <v>514950.13401154208</v>
      </c>
    </row>
    <row r="18" spans="1:6" ht="17" thickBot="1" x14ac:dyDescent="0.25">
      <c r="A18" s="1">
        <v>2012</v>
      </c>
      <c r="B18" s="2">
        <v>566700</v>
      </c>
      <c r="C18" s="10">
        <f t="shared" si="2"/>
        <v>5.8065720687079908E-2</v>
      </c>
      <c r="D18" s="10">
        <v>2.4400000000000002E-2</v>
      </c>
      <c r="E18" s="21">
        <f t="shared" si="0"/>
        <v>3.3665720687079903E-2</v>
      </c>
      <c r="F18" s="26">
        <f t="shared" si="1"/>
        <v>535184.50229746394</v>
      </c>
    </row>
    <row r="19" spans="1:6" ht="17" thickBot="1" x14ac:dyDescent="0.25">
      <c r="A19" s="1">
        <v>2013</v>
      </c>
      <c r="B19" s="2">
        <v>589500</v>
      </c>
      <c r="C19" s="10">
        <f t="shared" si="2"/>
        <v>4.0232927474854421E-2</v>
      </c>
      <c r="D19" s="10">
        <v>1.9400000000000001E-2</v>
      </c>
      <c r="E19" s="21">
        <f t="shared" si="0"/>
        <v>2.0832927474854421E-2</v>
      </c>
      <c r="F19" s="26">
        <f t="shared" si="1"/>
        <v>566479.90714436152</v>
      </c>
    </row>
    <row r="20" spans="1:6" ht="17" thickBot="1" x14ac:dyDescent="0.25">
      <c r="A20" s="1">
        <v>2014</v>
      </c>
      <c r="B20" s="2">
        <v>616000</v>
      </c>
      <c r="C20" s="10">
        <f t="shared" si="2"/>
        <v>4.4953350296861747E-2</v>
      </c>
      <c r="D20" s="10">
        <v>3.6600000000000001E-2</v>
      </c>
      <c r="E20" s="21">
        <f t="shared" si="0"/>
        <v>8.353350296861746E-3</v>
      </c>
      <c r="F20" s="26">
        <f t="shared" si="1"/>
        <v>589327.57444259955</v>
      </c>
    </row>
    <row r="21" spans="1:6" ht="17" thickBot="1" x14ac:dyDescent="0.25">
      <c r="A21" s="1">
        <v>2015</v>
      </c>
      <c r="B21" s="2">
        <v>644350</v>
      </c>
      <c r="C21" s="10">
        <f t="shared" si="2"/>
        <v>4.6022727272727271E-2</v>
      </c>
      <c r="D21" s="10">
        <v>6.7699999999999996E-2</v>
      </c>
      <c r="E21" s="21">
        <f t="shared" si="0"/>
        <v>-2.1677272727272726E-2</v>
      </c>
      <c r="F21" s="26">
        <f t="shared" si="1"/>
        <v>616865.45130487066</v>
      </c>
    </row>
    <row r="22" spans="1:6" ht="17" thickBot="1" x14ac:dyDescent="0.25">
      <c r="A22" s="1">
        <v>2016</v>
      </c>
      <c r="B22" s="2">
        <v>689455</v>
      </c>
      <c r="C22" s="10">
        <f t="shared" si="2"/>
        <v>7.0000775975789561E-2</v>
      </c>
      <c r="D22" s="10">
        <v>5.7500000000000002E-2</v>
      </c>
      <c r="E22" s="21">
        <f t="shared" si="0"/>
        <v>1.2500775975789559E-2</v>
      </c>
      <c r="F22" s="26">
        <f t="shared" si="1"/>
        <v>643917.43546562537</v>
      </c>
    </row>
    <row r="23" spans="1:6" ht="17" thickBot="1" x14ac:dyDescent="0.25">
      <c r="A23" s="1">
        <v>2017</v>
      </c>
      <c r="B23" s="2">
        <v>737717</v>
      </c>
      <c r="C23" s="10">
        <f t="shared" si="2"/>
        <v>7.0000217563147699E-2</v>
      </c>
      <c r="D23" s="10">
        <v>4.0899999999999999E-2</v>
      </c>
      <c r="E23" s="21">
        <f t="shared" si="0"/>
        <v>2.91002175631477E-2</v>
      </c>
      <c r="F23" s="26">
        <f t="shared" si="1"/>
        <v>688688.94704728539</v>
      </c>
    </row>
    <row r="24" spans="1:6" ht="17" thickBot="1" x14ac:dyDescent="0.25">
      <c r="A24" s="1">
        <v>2018</v>
      </c>
      <c r="B24" s="2">
        <v>781242</v>
      </c>
      <c r="C24" s="10">
        <f t="shared" si="2"/>
        <v>5.8999589273393459E-2</v>
      </c>
      <c r="D24" s="10">
        <v>3.1800000000000002E-2</v>
      </c>
      <c r="E24" s="21">
        <f t="shared" si="0"/>
        <v>2.7199589273393457E-2</v>
      </c>
      <c r="F24" s="26">
        <f t="shared" si="1"/>
        <v>737114.95507905155</v>
      </c>
    </row>
    <row r="25" spans="1:6" ht="17" thickBot="1" x14ac:dyDescent="0.25">
      <c r="A25" s="1">
        <v>2019</v>
      </c>
      <c r="B25" s="2">
        <v>828116</v>
      </c>
      <c r="C25" s="10">
        <f t="shared" si="2"/>
        <v>5.9999334393184188E-2</v>
      </c>
      <c r="D25" s="10">
        <v>3.7999999999999999E-2</v>
      </c>
      <c r="E25" s="21">
        <f t="shared" si="0"/>
        <v>2.1999334393184189E-2</v>
      </c>
      <c r="F25" s="26">
        <f t="shared" si="1"/>
        <v>780626.35443617159</v>
      </c>
    </row>
    <row r="26" spans="1:6" ht="17" thickBot="1" x14ac:dyDescent="0.25">
      <c r="A26" s="1">
        <v>2020</v>
      </c>
      <c r="B26" s="2">
        <v>877803</v>
      </c>
      <c r="C26" s="10">
        <f t="shared" si="2"/>
        <v>6.0000048302411742E-2</v>
      </c>
      <c r="D26" s="10">
        <v>1.61E-2</v>
      </c>
      <c r="E26" s="21">
        <f t="shared" si="0"/>
        <v>4.3900048302411745E-2</v>
      </c>
      <c r="F26" s="26">
        <f t="shared" si="1"/>
        <v>827564.19366664265</v>
      </c>
    </row>
    <row r="27" spans="1:6" ht="17" thickBot="1" x14ac:dyDescent="0.25">
      <c r="A27" s="1">
        <v>2021</v>
      </c>
      <c r="B27" s="2">
        <v>908526</v>
      </c>
      <c r="C27" s="10">
        <f t="shared" si="2"/>
        <v>3.4999880383183926E-2</v>
      </c>
      <c r="D27" s="10">
        <v>5.62E-2</v>
      </c>
      <c r="E27" s="21">
        <f t="shared" si="0"/>
        <v>-2.1200119616816074E-2</v>
      </c>
      <c r="F27" s="26">
        <f t="shared" si="1"/>
        <v>878814.65310058126</v>
      </c>
    </row>
    <row r="28" spans="1:6" ht="17" thickBot="1" x14ac:dyDescent="0.25">
      <c r="A28" s="1">
        <v>2022</v>
      </c>
      <c r="B28" s="2">
        <v>1000000</v>
      </c>
      <c r="C28" s="10">
        <f t="shared" si="2"/>
        <v>0.10068396501586085</v>
      </c>
      <c r="D28" s="10">
        <v>0.13120000000000001</v>
      </c>
      <c r="E28" s="21">
        <f t="shared" si="0"/>
        <v>-3.0516034984139156E-2</v>
      </c>
      <c r="F28" s="26">
        <f t="shared" si="1"/>
        <v>911842.79990790912</v>
      </c>
    </row>
    <row r="29" spans="1:6" ht="17" thickBot="1" x14ac:dyDescent="0.25">
      <c r="A29" s="1">
        <v>2023</v>
      </c>
      <c r="B29" s="2">
        <v>1160000</v>
      </c>
      <c r="C29" s="10">
        <f t="shared" si="2"/>
        <v>0.16</v>
      </c>
      <c r="D29" s="10">
        <v>9.2799999999999994E-2</v>
      </c>
      <c r="E29" s="21">
        <f t="shared" si="0"/>
        <v>6.720000000000001E-2</v>
      </c>
      <c r="F29" s="26">
        <f t="shared" si="1"/>
        <v>994652.74683302571</v>
      </c>
    </row>
    <row r="30" spans="1:6" ht="17" thickBot="1" x14ac:dyDescent="0.25">
      <c r="A30" s="1">
        <v>2024</v>
      </c>
      <c r="B30" s="2">
        <v>1300000</v>
      </c>
      <c r="C30" s="10">
        <f t="shared" si="2"/>
        <v>0.1206896551724138</v>
      </c>
      <c r="D30" s="10">
        <v>5.1999999999999998E-2</v>
      </c>
      <c r="E30" s="21">
        <f t="shared" si="0"/>
        <v>6.8689655172413794E-2</v>
      </c>
      <c r="F30" s="26">
        <f t="shared" si="1"/>
        <v>1156314.5941256026</v>
      </c>
    </row>
    <row r="31" spans="1:6" ht="17" thickBot="1" x14ac:dyDescent="0.25">
      <c r="A31" s="1">
        <v>2025</v>
      </c>
      <c r="B31" s="2">
        <v>1423500</v>
      </c>
      <c r="C31" s="10">
        <f t="shared" si="2"/>
        <v>9.5000000000000001E-2</v>
      </c>
      <c r="D31" s="10">
        <v>5.0999999999999997E-2</v>
      </c>
      <c r="E31" s="21">
        <f t="shared" si="0"/>
        <v>4.4000000000000004E-2</v>
      </c>
      <c r="F31" s="26">
        <f t="shared" si="1"/>
        <v>1297341.3388453254</v>
      </c>
    </row>
    <row r="32" spans="1:6" ht="17" thickBot="1" x14ac:dyDescent="0.25">
      <c r="A32" s="1">
        <v>2026</v>
      </c>
      <c r="B32" s="2">
        <v>1750905</v>
      </c>
      <c r="C32" s="10">
        <f t="shared" si="2"/>
        <v>0.23</v>
      </c>
      <c r="D32" s="9"/>
      <c r="E32" s="21">
        <f t="shared" si="0"/>
        <v>0.23</v>
      </c>
      <c r="F32" s="26">
        <f t="shared" si="1"/>
        <v>1423500</v>
      </c>
    </row>
  </sheetData>
  <mergeCells count="1"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7D33-AB7C-9A4E-9F19-4B7BC86F56AF}">
  <dimension ref="A1:E15"/>
  <sheetViews>
    <sheetView zoomScale="170" zoomScaleNormal="170" workbookViewId="0">
      <selection activeCell="D38" sqref="D38"/>
    </sheetView>
  </sheetViews>
  <sheetFormatPr baseColWidth="10" defaultRowHeight="16" x14ac:dyDescent="0.2"/>
  <sheetData>
    <row r="1" spans="1:5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">
      <c r="A2" s="7">
        <v>0.05</v>
      </c>
      <c r="B2" s="7">
        <f>A2/(1-A2)</f>
        <v>5.2631578947368425E-2</v>
      </c>
      <c r="C2" s="6">
        <f>(1+B2)^2 -1</f>
        <v>0.10803324099722977</v>
      </c>
      <c r="D2" s="7">
        <f>C2/(1+C2)</f>
        <v>9.7499999999999878E-2</v>
      </c>
      <c r="E2" s="6">
        <f>D2/1</f>
        <v>9.7499999999999878E-2</v>
      </c>
    </row>
    <row r="3" spans="1:5" x14ac:dyDescent="0.2">
      <c r="C3" s="5"/>
    </row>
    <row r="4" spans="1:5" x14ac:dyDescent="0.2">
      <c r="C4" s="5"/>
    </row>
    <row r="5" spans="1:5" x14ac:dyDescent="0.2">
      <c r="C5" s="5"/>
    </row>
    <row r="6" spans="1:5" x14ac:dyDescent="0.2">
      <c r="C6" s="5"/>
    </row>
    <row r="7" spans="1:5" x14ac:dyDescent="0.2">
      <c r="C7" s="5"/>
    </row>
    <row r="8" spans="1:5" x14ac:dyDescent="0.2">
      <c r="C8" s="5"/>
    </row>
    <row r="9" spans="1:5" x14ac:dyDescent="0.2">
      <c r="C9" s="5"/>
    </row>
    <row r="10" spans="1:5" x14ac:dyDescent="0.2">
      <c r="C10" s="5"/>
    </row>
    <row r="11" spans="1:5" x14ac:dyDescent="0.2">
      <c r="C11" s="5"/>
    </row>
    <row r="12" spans="1:5" x14ac:dyDescent="0.2">
      <c r="C12" s="5"/>
    </row>
    <row r="13" spans="1:5" x14ac:dyDescent="0.2">
      <c r="C13" s="5"/>
    </row>
    <row r="14" spans="1:5" x14ac:dyDescent="0.2">
      <c r="C14" s="5"/>
    </row>
    <row r="15" spans="1:5" x14ac:dyDescent="0.2">
      <c r="C1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768C-743F-0F46-83EF-CD63F9FDF5AA}">
  <dimension ref="A1:E8"/>
  <sheetViews>
    <sheetView workbookViewId="0">
      <selection activeCell="E3" sqref="E3"/>
    </sheetView>
  </sheetViews>
  <sheetFormatPr baseColWidth="10" defaultRowHeight="16" x14ac:dyDescent="0.2"/>
  <cols>
    <col min="2" max="2" width="21.5" customWidth="1"/>
    <col min="3" max="3" width="20.33203125" customWidth="1"/>
    <col min="4" max="4" width="22.83203125" customWidth="1"/>
    <col min="5" max="5" width="25.6640625" customWidth="1"/>
  </cols>
  <sheetData>
    <row r="1" spans="1:5" ht="23" thickBot="1" x14ac:dyDescent="0.25">
      <c r="A1" s="29" t="s">
        <v>11</v>
      </c>
      <c r="B1" s="30"/>
      <c r="C1" s="11" t="s">
        <v>12</v>
      </c>
      <c r="D1" s="29" t="s">
        <v>13</v>
      </c>
      <c r="E1" s="30"/>
    </row>
    <row r="2" spans="1:5" ht="51" customHeight="1" thickBot="1" x14ac:dyDescent="0.25">
      <c r="A2" s="12" t="s">
        <v>0</v>
      </c>
      <c r="B2" s="12" t="s">
        <v>11</v>
      </c>
      <c r="C2" s="12" t="s">
        <v>14</v>
      </c>
      <c r="D2" s="12" t="s">
        <v>15</v>
      </c>
      <c r="E2" s="12" t="s">
        <v>16</v>
      </c>
    </row>
    <row r="3" spans="1:5" ht="24" thickBot="1" x14ac:dyDescent="0.25">
      <c r="A3" s="13">
        <v>2007</v>
      </c>
      <c r="B3" s="14">
        <v>8165000</v>
      </c>
      <c r="C3" s="15">
        <v>5.6899999999999999E-2</v>
      </c>
      <c r="D3" s="16"/>
      <c r="E3" s="18"/>
    </row>
    <row r="4" spans="1:5" ht="24" thickBot="1" x14ac:dyDescent="0.25">
      <c r="A4" s="13">
        <v>2008</v>
      </c>
      <c r="B4" s="14">
        <v>8820000</v>
      </c>
      <c r="C4" s="15">
        <v>7.6700000000000004E-2</v>
      </c>
      <c r="D4" s="17">
        <f>(B4-B3)/B3</f>
        <v>8.0220453153704838E-2</v>
      </c>
      <c r="E4" s="18">
        <f t="shared" ref="E4:E8" si="0">D4-C4</f>
        <v>3.5204531537048334E-3</v>
      </c>
    </row>
    <row r="5" spans="1:5" ht="24" thickBot="1" x14ac:dyDescent="0.25">
      <c r="A5" s="13">
        <v>2009</v>
      </c>
      <c r="B5" s="14">
        <v>9660000</v>
      </c>
      <c r="C5" s="15">
        <v>0.02</v>
      </c>
      <c r="D5" s="17">
        <f t="shared" ref="D5:D8" si="1">(B5-B4)/B4</f>
        <v>9.5238095238095233E-2</v>
      </c>
      <c r="E5" s="18">
        <f t="shared" si="0"/>
        <v>7.5238095238095229E-2</v>
      </c>
    </row>
    <row r="6" spans="1:5" ht="24" thickBot="1" x14ac:dyDescent="0.25">
      <c r="A6" s="13">
        <v>2010</v>
      </c>
      <c r="B6" s="14">
        <v>10095000</v>
      </c>
      <c r="C6" s="15">
        <v>3.1699999999999999E-2</v>
      </c>
      <c r="D6" s="17">
        <f t="shared" si="1"/>
        <v>4.503105590062112E-2</v>
      </c>
      <c r="E6" s="18">
        <f t="shared" si="0"/>
        <v>1.3331055900621121E-2</v>
      </c>
    </row>
    <row r="7" spans="1:5" ht="24" thickBot="1" x14ac:dyDescent="0.25">
      <c r="A7" s="13">
        <v>2011</v>
      </c>
      <c r="B7" s="14">
        <v>10600000</v>
      </c>
      <c r="C7" s="15">
        <v>3.73E-2</v>
      </c>
      <c r="D7" s="17">
        <f t="shared" si="1"/>
        <v>5.0024764735017338E-2</v>
      </c>
      <c r="E7" s="18">
        <f t="shared" si="0"/>
        <v>1.2724764735017338E-2</v>
      </c>
    </row>
    <row r="8" spans="1:5" ht="24" thickBot="1" x14ac:dyDescent="0.25">
      <c r="A8" s="13">
        <v>2012</v>
      </c>
      <c r="B8" s="14">
        <v>11240000</v>
      </c>
      <c r="C8" s="15">
        <v>2.4400000000000002E-2</v>
      </c>
      <c r="D8" s="17">
        <f t="shared" si="1"/>
        <v>6.0377358490566038E-2</v>
      </c>
      <c r="E8" s="18">
        <f t="shared" si="0"/>
        <v>3.5977358490566033E-2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D05F-6A7C-D447-9C9B-4301FA197A87}">
  <dimension ref="A1:G9"/>
  <sheetViews>
    <sheetView workbookViewId="0">
      <selection activeCell="I15" sqref="I15"/>
    </sheetView>
  </sheetViews>
  <sheetFormatPr baseColWidth="10" defaultRowHeight="16" x14ac:dyDescent="0.2"/>
  <cols>
    <col min="1" max="1" width="16.5" customWidth="1"/>
    <col min="2" max="2" width="17.33203125" customWidth="1"/>
    <col min="3" max="3" width="13.83203125" customWidth="1"/>
    <col min="4" max="4" width="19.33203125" customWidth="1"/>
    <col min="5" max="5" width="15.6640625" customWidth="1"/>
    <col min="6" max="6" width="19.33203125" customWidth="1"/>
    <col min="7" max="7" width="20.33203125" customWidth="1"/>
  </cols>
  <sheetData>
    <row r="1" spans="1:7" ht="40" customHeight="1" x14ac:dyDescent="0.2">
      <c r="A1" s="31" t="s">
        <v>18</v>
      </c>
      <c r="B1" s="31" t="s">
        <v>19</v>
      </c>
      <c r="C1" s="31" t="s">
        <v>20</v>
      </c>
      <c r="D1" s="31" t="s">
        <v>21</v>
      </c>
      <c r="E1" s="31" t="s">
        <v>22</v>
      </c>
      <c r="F1" s="31" t="s">
        <v>23</v>
      </c>
      <c r="G1" s="22" t="s">
        <v>24</v>
      </c>
    </row>
    <row r="2" spans="1:7" ht="22" x14ac:dyDescent="0.2">
      <c r="A2" s="32"/>
      <c r="B2" s="32"/>
      <c r="C2" s="32"/>
      <c r="D2" s="32"/>
      <c r="E2" s="32"/>
      <c r="F2" s="32"/>
      <c r="G2" s="23" t="s">
        <v>25</v>
      </c>
    </row>
    <row r="3" spans="1:7" ht="23" x14ac:dyDescent="0.25">
      <c r="A3" s="24">
        <f>(1+B3/2)^2-1</f>
        <v>0.10775625</v>
      </c>
      <c r="B3" s="25">
        <v>0.105</v>
      </c>
      <c r="C3" s="24">
        <f>((1+A3)^(1/4)-1)*4</f>
        <v>0.10365690573663855</v>
      </c>
      <c r="D3" s="24">
        <f t="shared" ref="D3:D4" si="0">(1+A3)^(1/12) -1</f>
        <v>8.5645151532220964E-3</v>
      </c>
      <c r="E3" s="24">
        <f t="shared" ref="E3:E4" si="1">((1+A3)^(1/12) -1)*2</f>
        <v>1.7129030306444193E-2</v>
      </c>
      <c r="F3" s="24">
        <f t="shared" ref="F3:F4" si="2">((1+A3)^(1/4) -1)/(1+((1+A3)^(1/4) -1)) *4</f>
        <v>0.10103856937136543</v>
      </c>
      <c r="G3" s="24">
        <f t="shared" ref="G3:G4" si="3">LN(1+A3)</f>
        <v>0.10233657314879886</v>
      </c>
    </row>
    <row r="4" spans="1:7" ht="23" x14ac:dyDescent="0.25">
      <c r="A4" s="24">
        <f>((1+(C4/4))^4)-1</f>
        <v>9.8116427799242567E-2</v>
      </c>
      <c r="B4" s="24">
        <f t="shared" ref="B4:B9" si="4">(((1+A4)^(1/2))-1)*2</f>
        <v>9.5821011249999533E-2</v>
      </c>
      <c r="C4" s="25">
        <v>9.4700000000000006E-2</v>
      </c>
      <c r="D4" s="24">
        <f t="shared" si="0"/>
        <v>7.8301946896237595E-3</v>
      </c>
      <c r="E4" s="24">
        <f t="shared" si="1"/>
        <v>1.5660389379247519E-2</v>
      </c>
      <c r="F4" s="24">
        <f t="shared" si="2"/>
        <v>9.2509829779959044E-2</v>
      </c>
      <c r="G4" s="24">
        <f t="shared" si="3"/>
        <v>9.3596373712926728E-2</v>
      </c>
    </row>
    <row r="5" spans="1:7" ht="23" x14ac:dyDescent="0.25">
      <c r="A5" s="25">
        <v>0.10199999999999999</v>
      </c>
      <c r="B5" s="24">
        <f t="shared" si="4"/>
        <v>9.9523755521713664E-2</v>
      </c>
      <c r="C5" s="24">
        <f>((1+A5)^(1/4)-1)*4</f>
        <v>9.8315513009425537E-2</v>
      </c>
      <c r="D5" s="24">
        <f>(1+A5)^(1/12) -1</f>
        <v>8.1267366616946113E-3</v>
      </c>
      <c r="E5" s="24">
        <f>((1+A5)^(1/12) -1)*2</f>
        <v>1.6253473323389223E-2</v>
      </c>
      <c r="F5" s="24">
        <f>((1+A5)^(1/4) -1)/(1+((1+A5)^(1/4) -1)) *4</f>
        <v>9.5956997646803113E-2</v>
      </c>
      <c r="G5" s="24">
        <f>LN(1+A5)</f>
        <v>9.7126710730722821E-2</v>
      </c>
    </row>
    <row r="6" spans="1:7" ht="23" x14ac:dyDescent="0.25">
      <c r="A6" s="24">
        <f>(1+((F6/4)/(1-(F6/4))))^4 -1</f>
        <v>7.317306450499661E-2</v>
      </c>
      <c r="B6" s="24">
        <f t="shared" si="4"/>
        <v>7.188133299665278E-2</v>
      </c>
      <c r="C6" s="24">
        <f t="shared" ref="C6:C8" si="5">((1+A6)^(1/4)-1)*4</f>
        <v>7.1246819338422362E-2</v>
      </c>
      <c r="D6" s="24">
        <f>(1+A6)^(1/12) -1</f>
        <v>5.9023289174504612E-3</v>
      </c>
      <c r="E6" s="24">
        <f>((1+A6)^(1/12) -1)*2</f>
        <v>1.1804657834900922E-2</v>
      </c>
      <c r="F6" s="25">
        <v>7.0000000000000007E-2</v>
      </c>
      <c r="G6" s="24">
        <f t="shared" ref="G6:G8" si="6">LN(1+A6)</f>
        <v>7.0619740954883076E-2</v>
      </c>
    </row>
    <row r="7" spans="1:7" ht="23" x14ac:dyDescent="0.25">
      <c r="A7" s="24">
        <f>(1+D7)^12 -1</f>
        <v>0.44246067945403489</v>
      </c>
      <c r="B7" s="24">
        <f t="shared" si="4"/>
        <v>0.40204969095481857</v>
      </c>
      <c r="C7" s="24">
        <f t="shared" si="5"/>
        <v>0.38365116399999888</v>
      </c>
      <c r="D7" s="25">
        <v>3.1E-2</v>
      </c>
      <c r="E7" s="24">
        <f>((1+A7)^(1/12) -1)*2</f>
        <v>6.1999999999999833E-2</v>
      </c>
      <c r="F7" s="24">
        <f>((1+A7)^(1/4) -1)/(1+((1+A7)^(1/4) -1)) *4</f>
        <v>0.35007453800217481</v>
      </c>
      <c r="G7" s="24">
        <f t="shared" si="6"/>
        <v>0.36635046041787384</v>
      </c>
    </row>
    <row r="8" spans="1:7" ht="23" x14ac:dyDescent="0.25">
      <c r="A8" s="24">
        <f>(1+E8/2)^12 -1</f>
        <v>0.12281517904724915</v>
      </c>
      <c r="B8" s="24">
        <f t="shared" si="4"/>
        <v>0.11925947353999033</v>
      </c>
      <c r="C8" s="24">
        <f t="shared" si="5"/>
        <v>0.11753273069200088</v>
      </c>
      <c r="D8" s="24">
        <f>(1+A8)^(1/12) -1</f>
        <v>9.7000000000000419E-3</v>
      </c>
      <c r="E8" s="25">
        <v>1.9400000000000001E-2</v>
      </c>
      <c r="F8" s="24">
        <f>((1+A8)^(1/4) -1)/(1+((1+A8)^(1/4) -1)) *4</f>
        <v>0.11417782286553733</v>
      </c>
      <c r="G8" s="24">
        <f t="shared" si="6"/>
        <v>0.11583908433766009</v>
      </c>
    </row>
    <row r="9" spans="1:7" ht="23" x14ac:dyDescent="0.25">
      <c r="A9" s="24">
        <f>EXP(G9)-1</f>
        <v>6.1836546545359639E-2</v>
      </c>
      <c r="B9" s="24">
        <f t="shared" si="4"/>
        <v>6.0909067907033876E-2</v>
      </c>
      <c r="C9" s="24">
        <f t="shared" ref="C9" si="7">((1+A9)^(1/4)-1)*4</f>
        <v>6.0452258462875719E-2</v>
      </c>
      <c r="D9" s="24">
        <f>(1+A9)^(1/12) -1</f>
        <v>5.0125208594009596E-3</v>
      </c>
      <c r="E9" s="24">
        <f>((1+A9)^(1/12) -1)*2</f>
        <v>1.0025041718801919E-2</v>
      </c>
      <c r="F9" s="24">
        <f>((1+A9)^(1/4) -1)/(1+((1+A9)^(1/4) -1)) *4</f>
        <v>5.9552241587749161E-2</v>
      </c>
      <c r="G9" s="25">
        <v>0.06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27DD-6FF9-C440-B656-108B0D4FA61D}">
  <dimension ref="A1:B16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27</v>
      </c>
      <c r="B1" t="s">
        <v>26</v>
      </c>
    </row>
    <row r="2" spans="1:2" x14ac:dyDescent="0.2">
      <c r="A2" s="7">
        <v>0.15</v>
      </c>
      <c r="B2" s="7">
        <f>A2/(1-A2)</f>
        <v>0.17647058823529413</v>
      </c>
    </row>
    <row r="3" spans="1:2" x14ac:dyDescent="0.2">
      <c r="A3" s="7">
        <v>0.14000000000000001</v>
      </c>
      <c r="B3" s="7">
        <f t="shared" ref="B3:B16" si="0">A3/(1-A3)</f>
        <v>0.16279069767441862</v>
      </c>
    </row>
    <row r="4" spans="1:2" x14ac:dyDescent="0.2">
      <c r="A4" s="7">
        <v>0.13</v>
      </c>
      <c r="B4" s="7">
        <f t="shared" si="0"/>
        <v>0.14942528735632185</v>
      </c>
    </row>
    <row r="5" spans="1:2" x14ac:dyDescent="0.2">
      <c r="A5" s="7">
        <v>0.12</v>
      </c>
      <c r="B5" s="7">
        <f t="shared" si="0"/>
        <v>0.13636363636363635</v>
      </c>
    </row>
    <row r="6" spans="1:2" x14ac:dyDescent="0.2">
      <c r="A6" s="7">
        <v>0.11</v>
      </c>
      <c r="B6" s="7">
        <f t="shared" si="0"/>
        <v>0.12359550561797752</v>
      </c>
    </row>
    <row r="7" spans="1:2" x14ac:dyDescent="0.2">
      <c r="A7" s="7">
        <v>0.1</v>
      </c>
      <c r="B7" s="7">
        <f t="shared" si="0"/>
        <v>0.11111111111111112</v>
      </c>
    </row>
    <row r="8" spans="1:2" x14ac:dyDescent="0.2">
      <c r="A8" s="7">
        <v>0.09</v>
      </c>
      <c r="B8" s="7">
        <f t="shared" si="0"/>
        <v>9.8901098901098897E-2</v>
      </c>
    </row>
    <row r="9" spans="1:2" x14ac:dyDescent="0.2">
      <c r="A9" s="7">
        <v>0.08</v>
      </c>
      <c r="B9" s="7">
        <f t="shared" si="0"/>
        <v>8.6956521739130432E-2</v>
      </c>
    </row>
    <row r="10" spans="1:2" x14ac:dyDescent="0.2">
      <c r="A10" s="7">
        <v>7.0000000000000007E-2</v>
      </c>
      <c r="B10" s="7">
        <f t="shared" si="0"/>
        <v>7.5268817204301092E-2</v>
      </c>
    </row>
    <row r="11" spans="1:2" x14ac:dyDescent="0.2">
      <c r="A11" s="7">
        <v>0.06</v>
      </c>
      <c r="B11" s="7">
        <f t="shared" si="0"/>
        <v>6.3829787234042548E-2</v>
      </c>
    </row>
    <row r="12" spans="1:2" x14ac:dyDescent="0.2">
      <c r="A12" s="7">
        <v>0.05</v>
      </c>
      <c r="B12" s="7">
        <f t="shared" si="0"/>
        <v>5.2631578947368425E-2</v>
      </c>
    </row>
    <row r="13" spans="1:2" x14ac:dyDescent="0.2">
      <c r="A13" s="7">
        <v>3.9999999999999897E-2</v>
      </c>
      <c r="B13" s="7">
        <f t="shared" si="0"/>
        <v>4.1666666666666553E-2</v>
      </c>
    </row>
    <row r="14" spans="1:2" x14ac:dyDescent="0.2">
      <c r="A14" s="7">
        <v>2.9999999999999898E-2</v>
      </c>
      <c r="B14" s="7">
        <f t="shared" si="0"/>
        <v>3.0927835051546285E-2</v>
      </c>
    </row>
    <row r="15" spans="1:2" x14ac:dyDescent="0.2">
      <c r="A15" s="7">
        <v>1.99999999999999E-2</v>
      </c>
      <c r="B15" s="7">
        <f t="shared" si="0"/>
        <v>2.0408163265306017E-2</v>
      </c>
    </row>
    <row r="16" spans="1:2" x14ac:dyDescent="0.2">
      <c r="A16" s="7">
        <v>9.99999999999991E-3</v>
      </c>
      <c r="B16" s="7">
        <f t="shared" si="0"/>
        <v>1.010101010101001E-2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real</vt:lpstr>
      <vt:lpstr>E1</vt:lpstr>
      <vt:lpstr>E2</vt:lpstr>
      <vt:lpstr>E3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Brigitte Castañeda</dc:creator>
  <cp:lastModifiedBy>Brigitte Castañeda Rodriguez</cp:lastModifiedBy>
  <dcterms:created xsi:type="dcterms:W3CDTF">2026-02-02T19:19:38Z</dcterms:created>
  <dcterms:modified xsi:type="dcterms:W3CDTF">2026-02-03T14:54:46Z</dcterms:modified>
</cp:coreProperties>
</file>