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drawings/drawing2.xml" ContentType="application/vnd.openxmlformats-officedocument.drawing+xml"/>
  <Override PartName="/xl/ink/ink3.xml" ContentType="application/inkml+xml"/>
  <Override PartName="/xl/ink/ink4.xml" ContentType="application/inkml+xml"/>
  <Override PartName="/xl/drawings/drawing3.xml" ContentType="application/vnd.openxmlformats-officedocument.drawing+xml"/>
  <Override PartName="/xl/ink/ink5.xml" ContentType="application/inkml+xml"/>
  <Override PartName="/xl/ink/ink6.xml" ContentType="application/inkml+xml"/>
  <Override PartName="/xl/drawings/drawing4.xml" ContentType="application/vnd.openxmlformats-officedocument.drawing+xml"/>
  <Override PartName="/xl/ink/ink7.xml" ContentType="application/inkml+xml"/>
  <Override PartName="/xl/ink/ink8.xml" ContentType="application/inkml+xml"/>
  <Override PartName="/xl/drawings/drawing5.xml" ContentType="application/vnd.openxmlformats-officedocument.drawing+xml"/>
  <Override PartName="/xl/ink/ink9.xml" ContentType="application/inkml+xml"/>
  <Override PartName="/xl/ink/ink10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andes-my.sharepoint.com/personal/k_castaneda_uniandes_edu_co/Documents/2026-10/ANADEC/Presentaciones/6. Módulo 6 - Comparación y Selección de Proyectos/"/>
    </mc:Choice>
  </mc:AlternateContent>
  <xr:revisionPtr revIDLastSave="368" documentId="13_ncr:1_{B9AFEFC1-5A4F-4CB6-A2B4-21D7838320B9}" xr6:coauthVersionLast="47" xr6:coauthVersionMax="47" xr10:uidLastSave="{105AD962-328A-4493-9C27-6A8CE0020290}"/>
  <bookViews>
    <workbookView xWindow="-110" yWindow="-110" windowWidth="19420" windowHeight="10300" firstSheet="4" activeTab="4" xr2:uid="{D50896C7-03E9-4161-85FD-84FF4548387B}"/>
  </bookViews>
  <sheets>
    <sheet name="Caso 2 - Ej. 1" sheetId="4" r:id="rId1"/>
    <sheet name="Caso 2 - Ej. 2" sheetId="2" r:id="rId2"/>
    <sheet name="Caso 2 - Ej. 3" sheetId="3" r:id="rId3"/>
    <sheet name="Ejercicio Práctica 1" sheetId="6" r:id="rId4"/>
    <sheet name="Ejercicio Práctica 2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7" l="1"/>
  <c r="L5" i="7" s="1"/>
  <c r="F7" i="7"/>
  <c r="F8" i="7"/>
  <c r="N19" i="3"/>
  <c r="L19" i="3"/>
  <c r="K19" i="3"/>
  <c r="L3" i="7"/>
  <c r="F11" i="7"/>
  <c r="D8" i="6"/>
  <c r="C30" i="7"/>
  <c r="F30" i="7" s="1"/>
  <c r="I30" i="7" s="1"/>
  <c r="C29" i="7"/>
  <c r="F29" i="7" s="1"/>
  <c r="I29" i="7" s="1"/>
  <c r="C28" i="7"/>
  <c r="F28" i="7" s="1"/>
  <c r="I28" i="7" s="1"/>
  <c r="C27" i="7"/>
  <c r="F27" i="7" s="1"/>
  <c r="I27" i="7" s="1"/>
  <c r="F26" i="7"/>
  <c r="I26" i="7" s="1"/>
  <c r="C26" i="7"/>
  <c r="C25" i="7"/>
  <c r="F25" i="7" s="1"/>
  <c r="I25" i="7" s="1"/>
  <c r="C24" i="7"/>
  <c r="F24" i="7" s="1"/>
  <c r="I24" i="7" s="1"/>
  <c r="C23" i="7"/>
  <c r="F23" i="7" s="1"/>
  <c r="I23" i="7" s="1"/>
  <c r="C22" i="7"/>
  <c r="F22" i="7" s="1"/>
  <c r="I22" i="7" s="1"/>
  <c r="C21" i="7"/>
  <c r="F21" i="7" s="1"/>
  <c r="I21" i="7" s="1"/>
  <c r="F20" i="7"/>
  <c r="I20" i="7" s="1"/>
  <c r="C20" i="7"/>
  <c r="F19" i="7"/>
  <c r="I19" i="7" s="1"/>
  <c r="C19" i="7"/>
  <c r="C18" i="7"/>
  <c r="F18" i="7" s="1"/>
  <c r="I18" i="7" s="1"/>
  <c r="C17" i="7"/>
  <c r="F17" i="7" s="1"/>
  <c r="I17" i="7" s="1"/>
  <c r="C16" i="7"/>
  <c r="F16" i="7" s="1"/>
  <c r="I16" i="7" s="1"/>
  <c r="C15" i="7"/>
  <c r="F15" i="7" s="1"/>
  <c r="I15" i="7" s="1"/>
  <c r="C14" i="7"/>
  <c r="F14" i="7" s="1"/>
  <c r="I14" i="7" s="1"/>
  <c r="C13" i="7"/>
  <c r="F13" i="7" s="1"/>
  <c r="I13" i="7" s="1"/>
  <c r="C12" i="7"/>
  <c r="F12" i="7" s="1"/>
  <c r="I12" i="7" s="1"/>
  <c r="C11" i="7"/>
  <c r="I11" i="7" s="1"/>
  <c r="F10" i="7"/>
  <c r="I10" i="7" s="1"/>
  <c r="C10" i="7"/>
  <c r="C9" i="7"/>
  <c r="F9" i="7" s="1"/>
  <c r="I9" i="7" s="1"/>
  <c r="C8" i="7"/>
  <c r="I8" i="7" s="1"/>
  <c r="C7" i="7"/>
  <c r="E8" i="6"/>
  <c r="F8" i="6"/>
  <c r="G8" i="6"/>
  <c r="C8" i="6"/>
  <c r="P19" i="3"/>
  <c r="O19" i="3"/>
  <c r="M19" i="3"/>
  <c r="L18" i="3"/>
  <c r="M18" i="3"/>
  <c r="N18" i="3"/>
  <c r="O18" i="3"/>
  <c r="P18" i="3"/>
  <c r="K18" i="3"/>
  <c r="P17" i="3"/>
  <c r="O17" i="3"/>
  <c r="N17" i="3"/>
  <c r="M17" i="3"/>
  <c r="L17" i="3"/>
  <c r="K17" i="3"/>
  <c r="L16" i="3"/>
  <c r="M16" i="3"/>
  <c r="N16" i="3"/>
  <c r="O16" i="3"/>
  <c r="P16" i="3"/>
  <c r="K16" i="3"/>
  <c r="L15" i="3"/>
  <c r="M15" i="3"/>
  <c r="N15" i="3"/>
  <c r="O15" i="3"/>
  <c r="P15" i="3"/>
  <c r="K15" i="3"/>
  <c r="H16" i="3"/>
  <c r="H17" i="3"/>
  <c r="H18" i="3"/>
  <c r="H19" i="3"/>
  <c r="H15" i="3"/>
  <c r="G16" i="3"/>
  <c r="G17" i="3"/>
  <c r="G18" i="3"/>
  <c r="G19" i="3"/>
  <c r="G15" i="3"/>
  <c r="F16" i="3"/>
  <c r="F17" i="3"/>
  <c r="F18" i="3"/>
  <c r="F19" i="3"/>
  <c r="F15" i="3"/>
  <c r="E16" i="3"/>
  <c r="E17" i="3"/>
  <c r="E18" i="3"/>
  <c r="E19" i="3"/>
  <c r="E15" i="3"/>
  <c r="D16" i="3"/>
  <c r="D17" i="3"/>
  <c r="D18" i="3"/>
  <c r="D19" i="3"/>
  <c r="D15" i="3"/>
  <c r="C16" i="3"/>
  <c r="C17" i="3"/>
  <c r="C18" i="3"/>
  <c r="C19" i="3"/>
  <c r="C15" i="3"/>
  <c r="N8" i="3"/>
  <c r="N10" i="3"/>
  <c r="L10" i="3"/>
  <c r="M10" i="3"/>
  <c r="K10" i="3"/>
  <c r="L9" i="3"/>
  <c r="M9" i="3"/>
  <c r="N9" i="3"/>
  <c r="K9" i="3"/>
  <c r="L8" i="3"/>
  <c r="M8" i="3"/>
  <c r="K8" i="3"/>
  <c r="L7" i="3"/>
  <c r="M7" i="3"/>
  <c r="N7" i="3"/>
  <c r="K7" i="3"/>
  <c r="L6" i="3"/>
  <c r="M6" i="3"/>
  <c r="N6" i="3"/>
  <c r="K6" i="3"/>
  <c r="H15" i="2"/>
  <c r="C20" i="2"/>
  <c r="C19" i="2"/>
  <c r="C18" i="2"/>
  <c r="C17" i="2"/>
  <c r="C16" i="2"/>
  <c r="C15" i="2"/>
  <c r="H19" i="2" s="1"/>
  <c r="I10" i="2"/>
  <c r="H10" i="2"/>
  <c r="I9" i="2"/>
  <c r="H9" i="2"/>
  <c r="I8" i="2"/>
  <c r="H8" i="2"/>
  <c r="I6" i="2"/>
  <c r="I7" i="2" s="1"/>
  <c r="H6" i="2"/>
  <c r="H7" i="2" s="1"/>
  <c r="H10" i="4"/>
  <c r="G10" i="4"/>
  <c r="H9" i="4"/>
  <c r="G9" i="4"/>
  <c r="H8" i="4"/>
  <c r="G8" i="4"/>
  <c r="H7" i="4"/>
  <c r="G7" i="4"/>
  <c r="H6" i="4"/>
  <c r="G6" i="4"/>
  <c r="I7" i="7" l="1"/>
  <c r="H16" i="2"/>
  <c r="H17" i="2"/>
  <c r="H18" i="2"/>
</calcChain>
</file>

<file path=xl/sharedStrings.xml><?xml version="1.0" encoding="utf-8"?>
<sst xmlns="http://schemas.openxmlformats.org/spreadsheetml/2006/main" count="128" uniqueCount="49">
  <si>
    <t>.</t>
  </si>
  <si>
    <t>Ejemplo 1</t>
  </si>
  <si>
    <t>Costo Oportunidad</t>
  </si>
  <si>
    <t>Año</t>
  </si>
  <si>
    <t>Proyecto A</t>
  </si>
  <si>
    <t>Proyecto B</t>
  </si>
  <si>
    <t>Indicador</t>
  </si>
  <si>
    <t>Selección</t>
  </si>
  <si>
    <t>VPN</t>
  </si>
  <si>
    <t>B</t>
  </si>
  <si>
    <t>VAE</t>
  </si>
  <si>
    <t>TIR</t>
  </si>
  <si>
    <t>A</t>
  </si>
  <si>
    <t>TVR</t>
  </si>
  <si>
    <t>B/C</t>
  </si>
  <si>
    <t>Ejemplo 2</t>
  </si>
  <si>
    <t>* Análisis marginal</t>
  </si>
  <si>
    <t>B - A</t>
  </si>
  <si>
    <t>B-A</t>
  </si>
  <si>
    <t>Ejemplo 3</t>
  </si>
  <si>
    <t>Finca Raíz</t>
  </si>
  <si>
    <t>Acciones</t>
  </si>
  <si>
    <t>Índice Mercado</t>
  </si>
  <si>
    <t>Pensión</t>
  </si>
  <si>
    <t>Proyecto C</t>
  </si>
  <si>
    <t>Proyecto D</t>
  </si>
  <si>
    <t>C &gt; D &gt; A &gt; B</t>
  </si>
  <si>
    <t>D - C</t>
  </si>
  <si>
    <t>C - B</t>
  </si>
  <si>
    <t>C - A</t>
  </si>
  <si>
    <t>D - A</t>
  </si>
  <si>
    <t>D - B</t>
  </si>
  <si>
    <t>Ejercicio Práctica 1</t>
  </si>
  <si>
    <t>Fabricante 1</t>
  </si>
  <si>
    <t>Fabricante 2</t>
  </si>
  <si>
    <t>Fabricante 3</t>
  </si>
  <si>
    <t>Fabricante 4</t>
  </si>
  <si>
    <t>Fabricante 5</t>
  </si>
  <si>
    <t>Relación B/C</t>
  </si>
  <si>
    <t>Inversión Inicial</t>
  </si>
  <si>
    <t>Ejercicio Práctica 2</t>
  </si>
  <si>
    <t>EA</t>
  </si>
  <si>
    <t>MV</t>
  </si>
  <si>
    <t>Seguro (A)</t>
  </si>
  <si>
    <t>Taller Confianza (B)</t>
  </si>
  <si>
    <t>Mes</t>
  </si>
  <si>
    <t>Flujo</t>
  </si>
  <si>
    <t>TIR B - A</t>
  </si>
  <si>
    <t>B &gt;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</si>
</sst>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&quot;$&quot;\ #,##0_);[Red]\(&quot;$&quot;\ #,##0\)"/>
    <numFmt numFmtId="165" formatCode="0.0000"/>
    <numFmt numFmtId="166" formatCode="0.000"/>
    <numFmt numFmtId="167" formatCode="_-&quot;$&quot;\ * #,##0_-;\-&quot;$&quot;\ * #,##0_-;_-&quot;$&quot;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6283B"/>
      <name val="Corbel"/>
      <family val="2"/>
    </font>
    <font>
      <b/>
      <sz val="12"/>
      <color rgb="FFFFFFFF"/>
      <name val="Corbel"/>
      <family val="2"/>
    </font>
    <font>
      <b/>
      <sz val="12"/>
      <color rgb="FF26283B"/>
      <name val="Corbel"/>
      <family val="2"/>
    </font>
    <font>
      <b/>
      <sz val="11"/>
      <color theme="9" tint="-0.499984740745262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orbel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E3C00"/>
        <bgColor indexed="64"/>
      </patternFill>
    </fill>
  </fills>
  <borders count="4">
    <border>
      <left/>
      <right/>
      <top/>
      <bottom/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  <border>
      <left style="medium">
        <color theme="7" tint="-0.249977111117893"/>
      </left>
      <right/>
      <top style="medium">
        <color theme="7" tint="-0.249977111117893"/>
      </top>
      <bottom style="medium">
        <color theme="7" tint="-0.249977111117893"/>
      </bottom>
      <diagonal/>
    </border>
    <border>
      <left/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7">
    <xf numFmtId="0" fontId="0" fillId="0" borderId="0" xfId="0"/>
    <xf numFmtId="164" fontId="3" fillId="2" borderId="0" xfId="0" applyNumberFormat="1" applyFont="1" applyFill="1" applyAlignment="1">
      <alignment horizontal="center" vertical="center" wrapText="1" readingOrder="1"/>
    </xf>
    <xf numFmtId="0" fontId="2" fillId="0" borderId="0" xfId="0" applyFont="1"/>
    <xf numFmtId="0" fontId="6" fillId="0" borderId="0" xfId="0" applyFont="1"/>
    <xf numFmtId="0" fontId="6" fillId="0" borderId="2" xfId="0" applyFont="1" applyBorder="1" applyAlignment="1">
      <alignment horizontal="center" vertical="center"/>
    </xf>
    <xf numFmtId="10" fontId="2" fillId="0" borderId="3" xfId="1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1"/>
    </xf>
    <xf numFmtId="6" fontId="3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 readingOrder="1"/>
    </xf>
    <xf numFmtId="165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8" fontId="3" fillId="4" borderId="1" xfId="0" applyNumberFormat="1" applyFont="1" applyFill="1" applyBorder="1" applyAlignment="1">
      <alignment horizontal="center" vertical="center" wrapText="1" readingOrder="1"/>
    </xf>
    <xf numFmtId="0" fontId="0" fillId="4" borderId="1" xfId="0" applyFill="1" applyBorder="1" applyAlignment="1">
      <alignment horizontal="center" vertical="center"/>
    </xf>
    <xf numFmtId="6" fontId="3" fillId="4" borderId="1" xfId="0" applyNumberFormat="1" applyFont="1" applyFill="1" applyBorder="1" applyAlignment="1">
      <alignment horizontal="center" vertical="center" wrapText="1" readingOrder="1"/>
    </xf>
    <xf numFmtId="10" fontId="0" fillId="4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8" fontId="0" fillId="0" borderId="0" xfId="0" applyNumberFormat="1"/>
    <xf numFmtId="166" fontId="0" fillId="0" borderId="1" xfId="0" applyNumberFormat="1" applyBorder="1" applyAlignment="1">
      <alignment horizontal="center"/>
    </xf>
    <xf numFmtId="10" fontId="9" fillId="5" borderId="1" xfId="0" applyNumberFormat="1" applyFont="1" applyFill="1" applyBorder="1" applyAlignment="1">
      <alignment horizontal="center"/>
    </xf>
    <xf numFmtId="44" fontId="0" fillId="0" borderId="0" xfId="2" applyFont="1"/>
    <xf numFmtId="44" fontId="0" fillId="0" borderId="0" xfId="0" applyNumberFormat="1"/>
    <xf numFmtId="0" fontId="2" fillId="0" borderId="0" xfId="0" applyFont="1" applyAlignment="1">
      <alignment horizontal="center"/>
    </xf>
    <xf numFmtId="10" fontId="0" fillId="0" borderId="0" xfId="0" applyNumberFormat="1"/>
    <xf numFmtId="0" fontId="0" fillId="0" borderId="0" xfId="0" applyAlignment="1">
      <alignment vertical="center"/>
    </xf>
    <xf numFmtId="0" fontId="10" fillId="3" borderId="1" xfId="0" applyFont="1" applyFill="1" applyBorder="1" applyAlignment="1">
      <alignment horizontal="center"/>
    </xf>
    <xf numFmtId="167" fontId="0" fillId="0" borderId="1" xfId="2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7" fontId="0" fillId="0" borderId="1" xfId="2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0" fillId="3" borderId="1" xfId="0" applyFont="1" applyFill="1" applyBorder="1" applyAlignment="1">
      <alignment horizontal="center"/>
    </xf>
  </cellXfs>
  <cellStyles count="3"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E3C00"/>
      <color rgb="FFCC3300"/>
      <color rgb="FF63B3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2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ustomXml" Target="../ink/ink3.xml"/><Relationship Id="rId6" Type="http://schemas.openxmlformats.org/officeDocument/2006/relationships/image" Target="../media/image3.png"/><Relationship Id="rId5" Type="http://schemas.openxmlformats.org/officeDocument/2006/relationships/customXml" Target="../ink/ink4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ustomXml" Target="../ink/ink5.xml"/><Relationship Id="rId6" Type="http://schemas.openxmlformats.org/officeDocument/2006/relationships/image" Target="../media/image3.png"/><Relationship Id="rId5" Type="http://schemas.openxmlformats.org/officeDocument/2006/relationships/customXml" Target="../ink/ink6.xml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ustomXml" Target="../ink/ink7.xml"/><Relationship Id="rId6" Type="http://schemas.openxmlformats.org/officeDocument/2006/relationships/image" Target="../media/image3.png"/><Relationship Id="rId5" Type="http://schemas.openxmlformats.org/officeDocument/2006/relationships/customXml" Target="../ink/ink8.xml"/><Relationship Id="rId4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ustomXml" Target="../ink/ink9.xml"/><Relationship Id="rId6" Type="http://schemas.openxmlformats.org/officeDocument/2006/relationships/image" Target="../media/image3.png"/><Relationship Id="rId5" Type="http://schemas.openxmlformats.org/officeDocument/2006/relationships/customXml" Target="../ink/ink10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251682</xdr:colOff>
      <xdr:row>12</xdr:row>
      <xdr:rowOff>137531</xdr:rowOff>
    </xdr:from>
    <xdr:to>
      <xdr:col>7</xdr:col>
      <xdr:colOff>252042</xdr:colOff>
      <xdr:row>12</xdr:row>
      <xdr:rowOff>142211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200F7C1D-4A70-46B9-8F42-077D03DED570}"/>
                </a:ext>
              </a:extLst>
            </xdr14:cNvPr>
            <xdr14:cNvContentPartPr/>
          </xdr14:nvContentPartPr>
          <xdr14:nvPr macro=""/>
          <xdr14:xfrm>
            <a:off x="7296840" y="2657478"/>
            <a:ext cx="360" cy="4680"/>
          </xdr14:xfrm>
        </xdr:contentPart>
      </mc:Choice>
      <mc:Fallback xmlns="">
        <xdr:pic>
          <xdr:nvPicPr>
            <xdr:cNvPr id="3" name="Entrada de lápiz 2">
              <a:extLst>
                <a:ext uri="{FF2B5EF4-FFF2-40B4-BE49-F238E27FC236}">
                  <a16:creationId xmlns:a16="http://schemas.microsoft.com/office/drawing/2014/main" id="{0F4893A8-CF47-4426-83FC-3D0214568DB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287840" y="2648838"/>
              <a:ext cx="1800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648042</xdr:colOff>
      <xdr:row>9</xdr:row>
      <xdr:rowOff>145781</xdr:rowOff>
    </xdr:from>
    <xdr:to>
      <xdr:col>3</xdr:col>
      <xdr:colOff>671442</xdr:colOff>
      <xdr:row>9</xdr:row>
      <xdr:rowOff>150101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90FFB596-F29F-49E2-A924-C20E219BF6BC}"/>
                </a:ext>
              </a:extLst>
            </xdr14:cNvPr>
            <xdr14:cNvContentPartPr/>
          </xdr14:nvContentPartPr>
          <xdr14:nvPr macro=""/>
          <xdr14:xfrm>
            <a:off x="3121200" y="2077518"/>
            <a:ext cx="23400" cy="4320"/>
          </xdr14:xfrm>
        </xdr:contentPart>
      </mc:Choice>
      <mc:Fallback xmlns="">
        <xdr:pic>
          <xdr:nvPicPr>
            <xdr:cNvPr id="6" name="Entrada de lápiz 5">
              <a:extLst>
                <a:ext uri="{FF2B5EF4-FFF2-40B4-BE49-F238E27FC236}">
                  <a16:creationId xmlns:a16="http://schemas.microsoft.com/office/drawing/2014/main" id="{04F0A370-66EC-466B-91A9-586CD394CE0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112560" y="2069210"/>
              <a:ext cx="41040" cy="20603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251682</xdr:colOff>
      <xdr:row>12</xdr:row>
      <xdr:rowOff>137531</xdr:rowOff>
    </xdr:from>
    <xdr:to>
      <xdr:col>8</xdr:col>
      <xdr:colOff>252042</xdr:colOff>
      <xdr:row>12</xdr:row>
      <xdr:rowOff>142211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0F4893A8-CF47-4426-83FC-3D0214568DBE}"/>
                </a:ext>
              </a:extLst>
            </xdr14:cNvPr>
            <xdr14:cNvContentPartPr/>
          </xdr14:nvContentPartPr>
          <xdr14:nvPr macro=""/>
          <xdr14:xfrm>
            <a:off x="7296840" y="2657478"/>
            <a:ext cx="360" cy="4680"/>
          </xdr14:xfrm>
        </xdr:contentPart>
      </mc:Choice>
      <mc:Fallback xmlns="">
        <xdr:pic>
          <xdr:nvPicPr>
            <xdr:cNvPr id="3" name="Entrada de lápiz 2">
              <a:extLst>
                <a:ext uri="{FF2B5EF4-FFF2-40B4-BE49-F238E27FC236}">
                  <a16:creationId xmlns:a16="http://schemas.microsoft.com/office/drawing/2014/main" id="{0F4893A8-CF47-4426-83FC-3D0214568DB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287840" y="2648838"/>
              <a:ext cx="1800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648042</xdr:colOff>
      <xdr:row>9</xdr:row>
      <xdr:rowOff>145781</xdr:rowOff>
    </xdr:from>
    <xdr:to>
      <xdr:col>3</xdr:col>
      <xdr:colOff>671442</xdr:colOff>
      <xdr:row>9</xdr:row>
      <xdr:rowOff>150101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6" name="Entrada de lápiz 5">
              <a:extLst>
                <a:ext uri="{FF2B5EF4-FFF2-40B4-BE49-F238E27FC236}">
                  <a16:creationId xmlns:a16="http://schemas.microsoft.com/office/drawing/2014/main" id="{04F0A370-66EC-466B-91A9-586CD394CE04}"/>
                </a:ext>
              </a:extLst>
            </xdr14:cNvPr>
            <xdr14:cNvContentPartPr/>
          </xdr14:nvContentPartPr>
          <xdr14:nvPr macro=""/>
          <xdr14:xfrm>
            <a:off x="3121200" y="2077518"/>
            <a:ext cx="23400" cy="4320"/>
          </xdr14:xfrm>
        </xdr:contentPart>
      </mc:Choice>
      <mc:Fallback xmlns="">
        <xdr:pic>
          <xdr:nvPicPr>
            <xdr:cNvPr id="6" name="Entrada de lápiz 5">
              <a:extLst>
                <a:ext uri="{FF2B5EF4-FFF2-40B4-BE49-F238E27FC236}">
                  <a16:creationId xmlns:a16="http://schemas.microsoft.com/office/drawing/2014/main" id="{04F0A370-66EC-466B-91A9-586CD394CE0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112560" y="2069210"/>
              <a:ext cx="41040" cy="20603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137531</xdr:rowOff>
    </xdr:from>
    <xdr:to>
      <xdr:col>1</xdr:col>
      <xdr:colOff>360</xdr:colOff>
      <xdr:row>12</xdr:row>
      <xdr:rowOff>142211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7D2AE5AE-3365-415A-8DCF-143E4A21EACF}"/>
                </a:ext>
              </a:extLst>
            </xdr14:cNvPr>
            <xdr14:cNvContentPartPr/>
          </xdr14:nvContentPartPr>
          <xdr14:nvPr macro=""/>
          <xdr14:xfrm>
            <a:off x="7296840" y="2657478"/>
            <a:ext cx="360" cy="4680"/>
          </xdr14:xfrm>
        </xdr:contentPart>
      </mc:Choice>
      <mc:Fallback xmlns="">
        <xdr:pic>
          <xdr:nvPicPr>
            <xdr:cNvPr id="3" name="Entrada de lápiz 2">
              <a:extLst>
                <a:ext uri="{FF2B5EF4-FFF2-40B4-BE49-F238E27FC236}">
                  <a16:creationId xmlns:a16="http://schemas.microsoft.com/office/drawing/2014/main" id="{0F4893A8-CF47-4426-83FC-3D0214568DB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287840" y="2648838"/>
              <a:ext cx="1800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0</xdr:colOff>
      <xdr:row>9</xdr:row>
      <xdr:rowOff>145781</xdr:rowOff>
    </xdr:from>
    <xdr:to>
      <xdr:col>1</xdr:col>
      <xdr:colOff>23400</xdr:colOff>
      <xdr:row>9</xdr:row>
      <xdr:rowOff>150101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4BAFB279-6637-4CA0-B789-B356D486AE28}"/>
                </a:ext>
              </a:extLst>
            </xdr14:cNvPr>
            <xdr14:cNvContentPartPr/>
          </xdr14:nvContentPartPr>
          <xdr14:nvPr macro=""/>
          <xdr14:xfrm>
            <a:off x="3121200" y="2077518"/>
            <a:ext cx="23400" cy="4320"/>
          </xdr14:xfrm>
        </xdr:contentPart>
      </mc:Choice>
      <mc:Fallback xmlns="">
        <xdr:pic>
          <xdr:nvPicPr>
            <xdr:cNvPr id="6" name="Entrada de lápiz 5">
              <a:extLst>
                <a:ext uri="{FF2B5EF4-FFF2-40B4-BE49-F238E27FC236}">
                  <a16:creationId xmlns:a16="http://schemas.microsoft.com/office/drawing/2014/main" id="{04F0A370-66EC-466B-91A9-586CD394CE0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112560" y="2069210"/>
              <a:ext cx="41040" cy="20603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</xdr:col>
      <xdr:colOff>360</xdr:colOff>
      <xdr:row>6</xdr:row>
      <xdr:rowOff>4680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0F555357-90DD-4721-AC70-C7789C6817E1}"/>
                </a:ext>
              </a:extLst>
            </xdr14:cNvPr>
            <xdr14:cNvContentPartPr/>
          </xdr14:nvContentPartPr>
          <xdr14:nvPr macro=""/>
          <xdr14:xfrm>
            <a:off x="7296840" y="2657478"/>
            <a:ext cx="360" cy="4680"/>
          </xdr14:xfrm>
        </xdr:contentPart>
      </mc:Choice>
      <mc:Fallback xmlns="">
        <xdr:pic>
          <xdr:nvPicPr>
            <xdr:cNvPr id="3" name="Entrada de lápiz 2">
              <a:extLst>
                <a:ext uri="{FF2B5EF4-FFF2-40B4-BE49-F238E27FC236}">
                  <a16:creationId xmlns:a16="http://schemas.microsoft.com/office/drawing/2014/main" id="{0F4893A8-CF47-4426-83FC-3D0214568DB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287840" y="2648838"/>
              <a:ext cx="1800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23400</xdr:colOff>
      <xdr:row>6</xdr:row>
      <xdr:rowOff>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44E4A616-1530-4451-B95E-F186E11FE4B7}"/>
                </a:ext>
              </a:extLst>
            </xdr14:cNvPr>
            <xdr14:cNvContentPartPr/>
          </xdr14:nvContentPartPr>
          <xdr14:nvPr macro=""/>
          <xdr14:xfrm>
            <a:off x="3121200" y="2077518"/>
            <a:ext cx="23400" cy="4320"/>
          </xdr14:xfrm>
        </xdr:contentPart>
      </mc:Choice>
      <mc:Fallback xmlns="">
        <xdr:pic>
          <xdr:nvPicPr>
            <xdr:cNvPr id="6" name="Entrada de lápiz 5">
              <a:extLst>
                <a:ext uri="{FF2B5EF4-FFF2-40B4-BE49-F238E27FC236}">
                  <a16:creationId xmlns:a16="http://schemas.microsoft.com/office/drawing/2014/main" id="{04F0A370-66EC-466B-91A9-586CD394CE0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112560" y="2069210"/>
              <a:ext cx="41040" cy="20603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</xdr:col>
      <xdr:colOff>360</xdr:colOff>
      <xdr:row>6</xdr:row>
      <xdr:rowOff>4680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AC7FD7C5-F129-4285-9A11-4B0BFFA8B652}"/>
                </a:ext>
              </a:extLst>
            </xdr14:cNvPr>
            <xdr14:cNvContentPartPr/>
          </xdr14:nvContentPartPr>
          <xdr14:nvPr macro=""/>
          <xdr14:xfrm>
            <a:off x="7296840" y="2657478"/>
            <a:ext cx="360" cy="4680"/>
          </xdr14:xfrm>
        </xdr:contentPart>
      </mc:Choice>
      <mc:Fallback xmlns="">
        <xdr:pic>
          <xdr:nvPicPr>
            <xdr:cNvPr id="3" name="Entrada de lápiz 2">
              <a:extLst>
                <a:ext uri="{FF2B5EF4-FFF2-40B4-BE49-F238E27FC236}">
                  <a16:creationId xmlns:a16="http://schemas.microsoft.com/office/drawing/2014/main" id="{0F4893A8-CF47-4426-83FC-3D0214568DB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287840" y="2648838"/>
              <a:ext cx="1800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23400</xdr:colOff>
      <xdr:row>6</xdr:row>
      <xdr:rowOff>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F6B61F03-BFCA-4645-8C92-30AE3DB7D8D9}"/>
                </a:ext>
              </a:extLst>
            </xdr14:cNvPr>
            <xdr14:cNvContentPartPr/>
          </xdr14:nvContentPartPr>
          <xdr14:nvPr macro=""/>
          <xdr14:xfrm>
            <a:off x="3121200" y="2077518"/>
            <a:ext cx="23400" cy="4320"/>
          </xdr14:xfrm>
        </xdr:contentPart>
      </mc:Choice>
      <mc:Fallback xmlns="">
        <xdr:pic>
          <xdr:nvPicPr>
            <xdr:cNvPr id="6" name="Entrada de lápiz 5">
              <a:extLst>
                <a:ext uri="{FF2B5EF4-FFF2-40B4-BE49-F238E27FC236}">
                  <a16:creationId xmlns:a16="http://schemas.microsoft.com/office/drawing/2014/main" id="{04F0A370-66EC-466B-91A9-586CD394CE0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112560" y="2069210"/>
              <a:ext cx="41040" cy="20603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6T14:44:27.50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1602,'0'2'0,"0"-1"64,0 2 768,0-2-736,0 3-160,0-8 160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6T14:44:27.50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64 8 2819,'-13'0'6566,"11"4"-8392,-18-4-1377,18 0 1473,-8 0 1</inkml:trace>
  <inkml:trace contextRef="#ctx0" brushRef="#br0" timeOffset="1">33 4 929,'0'-1'7943,"-1"1"-7943,-14 0 0,12-3-32,-10 3-544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9-16T21:08:49.9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1602,'0'2'0,"0"-1"64,0 2 768,0-2-736,0 3-160,0-8 160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09-16T21:11:13.67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64 8 2819,'-13'0'6566,"11"4"-8392,-18-4-1377,18 0 1473,-8 0 1</inkml:trace>
  <inkml:trace contextRef="#ctx0" brushRef="#br0" timeOffset="665.97">33 4 929,'0'-1'7943,"-1"1"-7943,-14 0 0,12-3-32,-10 3-544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6T14:43:59.85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1602,'0'2'0,"0"-1"64,0 2 768,0-2-736,0 3-160,0-8 160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6T14:43:59.8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64 8 2819,'-13'0'6566,"11"4"-8392,-18-4-1377,18 0 1473,-8 0 1</inkml:trace>
  <inkml:trace contextRef="#ctx0" brushRef="#br0" timeOffset="1">33 4 929,'0'-1'7943,"-1"1"-7943,-14 0 0,12-3-32,-10 3-544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6T15:00:28.0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1602,'0'2'0,"0"-1"64,0 2 768,0-2-736,0 3-160,0-8 160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6T15:00:28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64 8 2819,'-13'0'6566,"11"4"-8392,-18-4-1377,18 0 1473,-8 0 1</inkml:trace>
  <inkml:trace contextRef="#ctx0" brushRef="#br0" timeOffset="1">33 4 929,'0'-1'7943,"-1"1"-7943,-14 0 0,12-3-32,-10 3-544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6T16:35:55.63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1602,'0'2'0,"0"-1"64,0 2 768,0-2-736,0 3-160,0-8 160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6T16:35:55.63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64 8 2819,'-13'0'6566,"11"4"-8392,-18-4-1377,18 0 1473,-8 0 1</inkml:trace>
  <inkml:trace contextRef="#ctx0" brushRef="#br0" timeOffset="1">33 4 929,'0'-1'7943,"-1"1"-7943,-14 0 0,12-3-32,-10 3-544</inkml:trace>
</inkml: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4C90B-74C3-4AB4-906B-2DDD5D0D8D8C}">
  <dimension ref="B1:AE14"/>
  <sheetViews>
    <sheetView showGridLines="0" zoomScale="142" zoomScaleNormal="90" workbookViewId="0"/>
  </sheetViews>
  <sheetFormatPr baseColWidth="10" defaultColWidth="11.453125" defaultRowHeight="14.5" x14ac:dyDescent="0.35"/>
  <cols>
    <col min="3" max="3" width="13.453125" bestFit="1" customWidth="1"/>
    <col min="4" max="4" width="14.7265625" customWidth="1"/>
    <col min="5" max="5" width="10.7265625" customWidth="1"/>
    <col min="6" max="6" width="18.26953125" bestFit="1" customWidth="1"/>
    <col min="7" max="7" width="15.7265625" customWidth="1"/>
    <col min="8" max="8" width="14.453125" customWidth="1"/>
    <col min="9" max="9" width="8.453125" customWidth="1"/>
  </cols>
  <sheetData>
    <row r="1" spans="2:31" ht="15" thickBot="1" x14ac:dyDescent="0.4">
      <c r="AE1" t="s">
        <v>0</v>
      </c>
    </row>
    <row r="2" spans="2:31" ht="20.25" customHeight="1" thickBot="1" x14ac:dyDescent="0.4">
      <c r="B2" s="3" t="s">
        <v>1</v>
      </c>
      <c r="F2" s="4" t="s">
        <v>2</v>
      </c>
      <c r="G2" s="5">
        <v>0.15</v>
      </c>
    </row>
    <row r="4" spans="2:31" ht="14.15" customHeight="1" thickBot="1" x14ac:dyDescent="0.4"/>
    <row r="5" spans="2:31" ht="14.15" customHeight="1" thickBot="1" x14ac:dyDescent="0.4">
      <c r="B5" s="8" t="s">
        <v>3</v>
      </c>
      <c r="C5" s="8" t="s">
        <v>4</v>
      </c>
      <c r="D5" s="8" t="s">
        <v>5</v>
      </c>
      <c r="F5" s="8" t="s">
        <v>6</v>
      </c>
      <c r="G5" s="8" t="s">
        <v>4</v>
      </c>
      <c r="H5" s="8" t="s">
        <v>5</v>
      </c>
      <c r="J5" s="8" t="s">
        <v>7</v>
      </c>
    </row>
    <row r="6" spans="2:31" ht="16" thickBot="1" x14ac:dyDescent="0.4">
      <c r="B6" s="6">
        <v>0</v>
      </c>
      <c r="C6" s="7">
        <v>-1</v>
      </c>
      <c r="D6" s="7">
        <v>-10000000</v>
      </c>
      <c r="F6" s="16" t="s">
        <v>8</v>
      </c>
      <c r="G6" s="17">
        <f>NPV($G$2,C7)+C6</f>
        <v>0.73913043478260887</v>
      </c>
      <c r="H6" s="17">
        <f>NPV($G$2,D7)+D6</f>
        <v>434782.60869565234</v>
      </c>
      <c r="J6" s="18" t="s">
        <v>9</v>
      </c>
    </row>
    <row r="7" spans="2:31" ht="16" thickBot="1" x14ac:dyDescent="0.4">
      <c r="B7" s="6">
        <v>1</v>
      </c>
      <c r="C7" s="7">
        <v>2</v>
      </c>
      <c r="D7" s="7">
        <v>12000000</v>
      </c>
      <c r="F7" s="16" t="s">
        <v>10</v>
      </c>
      <c r="G7" s="17">
        <f>-PMT($G$2,1,G6)</f>
        <v>0.85000000000000042</v>
      </c>
      <c r="H7" s="17">
        <f>-PMT($G$2,1,H6)</f>
        <v>500000.00000000029</v>
      </c>
      <c r="J7" s="18" t="s">
        <v>9</v>
      </c>
    </row>
    <row r="8" spans="2:31" ht="15" thickBot="1" x14ac:dyDescent="0.4">
      <c r="F8" s="9" t="s">
        <v>11</v>
      </c>
      <c r="G8" s="15">
        <f>IRR(C6:C7)</f>
        <v>1</v>
      </c>
      <c r="H8" s="15">
        <f>IRR(D6:D7)</f>
        <v>0.20000000000000018</v>
      </c>
      <c r="J8" s="12" t="s">
        <v>12</v>
      </c>
    </row>
    <row r="9" spans="2:31" ht="15" thickBot="1" x14ac:dyDescent="0.4">
      <c r="F9" s="9" t="s">
        <v>13</v>
      </c>
      <c r="G9" s="15">
        <f>MIRR(C6:C7,$G$2,$G$2)</f>
        <v>1</v>
      </c>
      <c r="H9" s="15">
        <f>MIRR(D6:D7,$G$2,$G$2)</f>
        <v>0.19999999999999996</v>
      </c>
      <c r="J9" s="12" t="s">
        <v>12</v>
      </c>
    </row>
    <row r="10" spans="2:31" ht="15" thickBot="1" x14ac:dyDescent="0.4">
      <c r="F10" s="9" t="s">
        <v>14</v>
      </c>
      <c r="G10" s="11">
        <f>NPV($G$2,C7)/-C6</f>
        <v>1.7391304347826089</v>
      </c>
      <c r="H10" s="11">
        <f>NPV($G$2,D7)/-D6</f>
        <v>1.0434782608695652</v>
      </c>
      <c r="J10" s="12" t="s">
        <v>12</v>
      </c>
    </row>
    <row r="14" spans="2:31" ht="16.5" customHeight="1" x14ac:dyDescent="0.3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E03FA-AB90-4F14-AFF8-FC0E8141B5C0}">
  <dimension ref="B1:AA20"/>
  <sheetViews>
    <sheetView showGridLines="0" zoomScale="135" zoomScaleNormal="90" workbookViewId="0"/>
  </sheetViews>
  <sheetFormatPr baseColWidth="10" defaultColWidth="11.453125" defaultRowHeight="14.5" x14ac:dyDescent="0.35"/>
  <cols>
    <col min="3" max="3" width="13.453125" bestFit="1" customWidth="1"/>
    <col min="4" max="4" width="14.7265625" customWidth="1"/>
    <col min="5" max="5" width="12.7265625" bestFit="1" customWidth="1"/>
    <col min="6" max="6" width="5" customWidth="1"/>
    <col min="7" max="7" width="18.26953125" bestFit="1" customWidth="1"/>
    <col min="8" max="8" width="15.7265625" customWidth="1"/>
    <col min="9" max="9" width="14.453125" customWidth="1"/>
    <col min="10" max="10" width="14.26953125" customWidth="1"/>
    <col min="13" max="13" width="11.26953125" customWidth="1"/>
  </cols>
  <sheetData>
    <row r="1" spans="2:27" ht="15" thickBot="1" x14ac:dyDescent="0.4">
      <c r="AA1" t="s">
        <v>0</v>
      </c>
    </row>
    <row r="2" spans="2:27" ht="20.25" customHeight="1" thickBot="1" x14ac:dyDescent="0.4">
      <c r="B2" s="3" t="s">
        <v>15</v>
      </c>
      <c r="G2" s="4" t="s">
        <v>2</v>
      </c>
      <c r="H2" s="5">
        <v>0.1</v>
      </c>
    </row>
    <row r="4" spans="2:27" ht="14.15" customHeight="1" thickBot="1" x14ac:dyDescent="0.4"/>
    <row r="5" spans="2:27" ht="14.15" customHeight="1" thickBot="1" x14ac:dyDescent="0.4">
      <c r="B5" s="8" t="s">
        <v>3</v>
      </c>
      <c r="C5" s="8" t="s">
        <v>4</v>
      </c>
      <c r="D5" s="8" t="s">
        <v>5</v>
      </c>
      <c r="G5" s="8" t="s">
        <v>6</v>
      </c>
      <c r="H5" s="8" t="s">
        <v>4</v>
      </c>
      <c r="I5" s="8" t="s">
        <v>5</v>
      </c>
      <c r="K5" s="8" t="s">
        <v>7</v>
      </c>
    </row>
    <row r="6" spans="2:27" ht="16" thickBot="1" x14ac:dyDescent="0.4">
      <c r="B6" s="6">
        <v>0</v>
      </c>
      <c r="C6" s="7">
        <v>-1000</v>
      </c>
      <c r="D6" s="7">
        <v>-1500</v>
      </c>
      <c r="G6" s="16" t="s">
        <v>8</v>
      </c>
      <c r="H6" s="19">
        <f>NPV($H$2,C7:C11)+C6</f>
        <v>364.68323698704125</v>
      </c>
      <c r="I6" s="19">
        <f>NPV($H$2,D7:D11)+D6</f>
        <v>395.39338470422354</v>
      </c>
      <c r="K6" s="18" t="s">
        <v>9</v>
      </c>
      <c r="M6" s="1"/>
    </row>
    <row r="7" spans="2:27" ht="16" thickBot="1" x14ac:dyDescent="0.4">
      <c r="B7" s="6">
        <v>1</v>
      </c>
      <c r="C7" s="7">
        <v>360</v>
      </c>
      <c r="D7" s="7">
        <v>500</v>
      </c>
      <c r="G7" s="16" t="s">
        <v>10</v>
      </c>
      <c r="H7" s="19">
        <f>-PMT($H$2,5,H6)</f>
        <v>96.202519205254603</v>
      </c>
      <c r="I7" s="19">
        <f>-PMT($H$2,5,I6)</f>
        <v>104.30377880788178</v>
      </c>
      <c r="K7" s="18" t="s">
        <v>9</v>
      </c>
      <c r="M7" s="1"/>
    </row>
    <row r="8" spans="2:27" ht="16" thickBot="1" x14ac:dyDescent="0.4">
      <c r="B8" s="6">
        <v>2</v>
      </c>
      <c r="C8" s="7">
        <v>360</v>
      </c>
      <c r="D8" s="7">
        <v>500</v>
      </c>
      <c r="G8" s="9" t="s">
        <v>11</v>
      </c>
      <c r="H8" s="10">
        <f>IRR(C6:C11)</f>
        <v>0.2343803949493608</v>
      </c>
      <c r="I8" s="10">
        <f>IRR(D6:D11)</f>
        <v>0.1985770978730661</v>
      </c>
      <c r="K8" s="12" t="s">
        <v>12</v>
      </c>
      <c r="M8" s="1"/>
    </row>
    <row r="9" spans="2:27" ht="16" thickBot="1" x14ac:dyDescent="0.4">
      <c r="B9" s="6">
        <v>3</v>
      </c>
      <c r="C9" s="7">
        <v>360</v>
      </c>
      <c r="D9" s="7">
        <v>500</v>
      </c>
      <c r="G9" s="9" t="s">
        <v>13</v>
      </c>
      <c r="H9" s="10">
        <f>MIRR(C6:C11,$H$2,$H$2)</f>
        <v>0.17057449302985428</v>
      </c>
      <c r="I9" s="10">
        <f>MIRR(D6:D11,$H$2,$H$2)</f>
        <v>0.15269472425463237</v>
      </c>
      <c r="K9" s="12" t="s">
        <v>12</v>
      </c>
      <c r="M9" s="1"/>
    </row>
    <row r="10" spans="2:27" ht="16" thickBot="1" x14ac:dyDescent="0.4">
      <c r="B10" s="6">
        <v>4</v>
      </c>
      <c r="C10" s="7">
        <v>360</v>
      </c>
      <c r="D10" s="7">
        <v>500</v>
      </c>
      <c r="G10" s="9" t="s">
        <v>14</v>
      </c>
      <c r="H10" s="11">
        <f>NPV($H$2,C7:C11)/-C6</f>
        <v>1.3646832369870412</v>
      </c>
      <c r="I10" s="11">
        <f>NPV($H$2,D7:D11)/-D6</f>
        <v>1.2635955898028157</v>
      </c>
      <c r="K10" s="12" t="s">
        <v>12</v>
      </c>
      <c r="M10" s="1"/>
    </row>
    <row r="11" spans="2:27" ht="16" thickBot="1" x14ac:dyDescent="0.4">
      <c r="B11" s="6">
        <v>5</v>
      </c>
      <c r="C11" s="7">
        <v>360</v>
      </c>
      <c r="D11" s="7">
        <v>500</v>
      </c>
    </row>
    <row r="13" spans="2:27" ht="15" thickBot="1" x14ac:dyDescent="0.4">
      <c r="B13" s="3" t="s">
        <v>16</v>
      </c>
    </row>
    <row r="14" spans="2:27" ht="16.5" customHeight="1" thickBot="1" x14ac:dyDescent="0.4">
      <c r="B14" s="8" t="s">
        <v>3</v>
      </c>
      <c r="C14" s="8" t="s">
        <v>17</v>
      </c>
      <c r="G14" s="8" t="s">
        <v>6</v>
      </c>
      <c r="H14" s="8" t="s">
        <v>18</v>
      </c>
      <c r="K14" s="8" t="s">
        <v>7</v>
      </c>
    </row>
    <row r="15" spans="2:27" ht="16" thickBot="1" x14ac:dyDescent="0.4">
      <c r="B15" s="6">
        <v>0</v>
      </c>
      <c r="C15" s="7">
        <f>D6-C6</f>
        <v>-500</v>
      </c>
      <c r="G15" s="16" t="s">
        <v>8</v>
      </c>
      <c r="H15" s="17">
        <f>NPV(H2,C16:C20)+C15</f>
        <v>30.710147717182622</v>
      </c>
      <c r="I15" s="22"/>
      <c r="K15" s="18" t="s">
        <v>9</v>
      </c>
    </row>
    <row r="16" spans="2:27" ht="16" thickBot="1" x14ac:dyDescent="0.4">
      <c r="B16" s="6">
        <v>1</v>
      </c>
      <c r="C16" s="7">
        <f t="shared" ref="C16:C20" si="0">D7-C7</f>
        <v>140</v>
      </c>
      <c r="G16" s="16" t="s">
        <v>10</v>
      </c>
      <c r="H16" s="17">
        <f>-PMT(H2,5,H15)</f>
        <v>8.1012596026272785</v>
      </c>
      <c r="K16" s="18" t="s">
        <v>9</v>
      </c>
    </row>
    <row r="17" spans="2:11" ht="16" thickBot="1" x14ac:dyDescent="0.4">
      <c r="B17" s="6">
        <v>2</v>
      </c>
      <c r="C17" s="7">
        <f t="shared" si="0"/>
        <v>140</v>
      </c>
      <c r="G17" s="16" t="s">
        <v>11</v>
      </c>
      <c r="H17" s="20">
        <f>IRR(C15:C20)</f>
        <v>0.12376241456839532</v>
      </c>
      <c r="K17" s="18" t="s">
        <v>9</v>
      </c>
    </row>
    <row r="18" spans="2:11" ht="16" thickBot="1" x14ac:dyDescent="0.4">
      <c r="B18" s="6">
        <v>3</v>
      </c>
      <c r="C18" s="7">
        <f t="shared" si="0"/>
        <v>140</v>
      </c>
      <c r="G18" s="16" t="s">
        <v>13</v>
      </c>
      <c r="H18" s="20">
        <f>MIRR(C15:C20,H2,H2)</f>
        <v>0.11319222060353606</v>
      </c>
      <c r="K18" s="18" t="s">
        <v>9</v>
      </c>
    </row>
    <row r="19" spans="2:11" ht="16" thickBot="1" x14ac:dyDescent="0.4">
      <c r="B19" s="6">
        <v>4</v>
      </c>
      <c r="C19" s="7">
        <f t="shared" si="0"/>
        <v>140</v>
      </c>
      <c r="G19" s="16" t="s">
        <v>14</v>
      </c>
      <c r="H19" s="21">
        <f>NPV(H2,C16:C20)/-C15</f>
        <v>1.0614202954343652</v>
      </c>
      <c r="K19" s="18" t="s">
        <v>9</v>
      </c>
    </row>
    <row r="20" spans="2:11" ht="16" thickBot="1" x14ac:dyDescent="0.4">
      <c r="B20" s="6">
        <v>5</v>
      </c>
      <c r="C20" s="7">
        <f t="shared" si="0"/>
        <v>140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462E8-12AB-48F2-A803-8443E62FF3A7}">
  <dimension ref="B1:AM21"/>
  <sheetViews>
    <sheetView showGridLines="0" zoomScale="135" zoomScaleNormal="110" workbookViewId="0">
      <selection activeCell="K19" sqref="K19"/>
    </sheetView>
  </sheetViews>
  <sheetFormatPr baseColWidth="10" defaultColWidth="11.453125" defaultRowHeight="14.5" x14ac:dyDescent="0.35"/>
  <cols>
    <col min="3" max="3" width="12.453125" customWidth="1"/>
    <col min="4" max="4" width="12" bestFit="1" customWidth="1"/>
    <col min="5" max="5" width="11.7265625" bestFit="1" customWidth="1"/>
    <col min="6" max="6" width="12" bestFit="1" customWidth="1"/>
    <col min="7" max="8" width="11.26953125" customWidth="1"/>
    <col min="10" max="10" width="18.26953125" bestFit="1" customWidth="1"/>
    <col min="11" max="14" width="12" customWidth="1"/>
    <col min="16" max="16" width="11.453125" customWidth="1"/>
  </cols>
  <sheetData>
    <row r="1" spans="2:39" ht="15" thickBot="1" x14ac:dyDescent="0.4">
      <c r="AM1" t="s">
        <v>0</v>
      </c>
    </row>
    <row r="2" spans="2:39" ht="20.25" customHeight="1" thickBot="1" x14ac:dyDescent="0.4">
      <c r="B2" s="3" t="s">
        <v>19</v>
      </c>
      <c r="J2" s="4" t="s">
        <v>2</v>
      </c>
      <c r="K2" s="5">
        <v>0.2</v>
      </c>
    </row>
    <row r="3" spans="2:39" ht="15" thickBot="1" x14ac:dyDescent="0.4"/>
    <row r="4" spans="2:39" ht="27" customHeight="1" thickBot="1" x14ac:dyDescent="0.4">
      <c r="B4" s="2"/>
      <c r="C4" s="8" t="s">
        <v>20</v>
      </c>
      <c r="D4" s="8" t="s">
        <v>21</v>
      </c>
      <c r="E4" s="8" t="s">
        <v>22</v>
      </c>
      <c r="F4" s="8" t="s">
        <v>23</v>
      </c>
      <c r="J4" s="2"/>
      <c r="K4" s="2"/>
      <c r="L4" s="2"/>
      <c r="M4" s="2"/>
      <c r="N4" s="2"/>
    </row>
    <row r="5" spans="2:39" ht="14.15" customHeight="1" thickBot="1" x14ac:dyDescent="0.4">
      <c r="B5" s="8" t="s">
        <v>3</v>
      </c>
      <c r="C5" s="8" t="s">
        <v>4</v>
      </c>
      <c r="D5" s="8" t="s">
        <v>5</v>
      </c>
      <c r="E5" s="8" t="s">
        <v>24</v>
      </c>
      <c r="F5" s="8" t="s">
        <v>25</v>
      </c>
      <c r="J5" s="8" t="s">
        <v>6</v>
      </c>
      <c r="K5" s="8" t="s">
        <v>4</v>
      </c>
      <c r="L5" s="8" t="s">
        <v>5</v>
      </c>
      <c r="M5" s="8" t="s">
        <v>24</v>
      </c>
      <c r="N5" s="8" t="s">
        <v>25</v>
      </c>
    </row>
    <row r="6" spans="2:39" ht="16" thickBot="1" x14ac:dyDescent="0.4">
      <c r="B6" s="6">
        <v>0</v>
      </c>
      <c r="C6" s="7">
        <v>-100000</v>
      </c>
      <c r="D6" s="7">
        <v>-200000</v>
      </c>
      <c r="E6" s="7">
        <v>-300000</v>
      </c>
      <c r="F6" s="7">
        <v>-400000</v>
      </c>
      <c r="G6" s="1"/>
      <c r="H6" s="1"/>
      <c r="J6" s="16" t="s">
        <v>8</v>
      </c>
      <c r="K6" s="19">
        <f>NPV($K$2,C7:C10)+C6</f>
        <v>3813.4336419753236</v>
      </c>
      <c r="L6" s="19">
        <f t="shared" ref="L6:N6" si="0">NPV($K$2,D7:D10)+D6</f>
        <v>3800.7175925926131</v>
      </c>
      <c r="M6" s="19">
        <f t="shared" si="0"/>
        <v>10125.385802469158</v>
      </c>
      <c r="N6" s="19">
        <f t="shared" si="0"/>
        <v>6899.9999999999418</v>
      </c>
      <c r="O6" s="34" t="s">
        <v>26</v>
      </c>
      <c r="P6" s="34"/>
    </row>
    <row r="7" spans="2:39" ht="16" thickBot="1" x14ac:dyDescent="0.4">
      <c r="B7" s="6">
        <v>1</v>
      </c>
      <c r="C7" s="7">
        <v>40102</v>
      </c>
      <c r="D7" s="7">
        <v>78726</v>
      </c>
      <c r="E7" s="7">
        <v>0</v>
      </c>
      <c r="F7" s="7">
        <v>494067.03703703696</v>
      </c>
      <c r="G7" s="1"/>
      <c r="H7" s="1"/>
      <c r="J7" s="16" t="s">
        <v>10</v>
      </c>
      <c r="K7" s="19">
        <f>-PMT($K$2,4,K6)</f>
        <v>1473.0879284649836</v>
      </c>
      <c r="L7" s="19">
        <f t="shared" ref="L7:N7" si="1">-PMT($K$2,4,L6)</f>
        <v>1468.1758569299636</v>
      </c>
      <c r="M7" s="19">
        <f t="shared" si="1"/>
        <v>3911.3263785395029</v>
      </c>
      <c r="N7" s="19">
        <f t="shared" si="1"/>
        <v>2665.3949329358948</v>
      </c>
      <c r="O7" s="34"/>
      <c r="P7" s="34"/>
    </row>
    <row r="8" spans="2:39" ht="16" thickBot="1" x14ac:dyDescent="0.4">
      <c r="B8" s="6">
        <v>2</v>
      </c>
      <c r="C8" s="7">
        <v>40102</v>
      </c>
      <c r="D8" s="7">
        <v>78726</v>
      </c>
      <c r="E8" s="7">
        <v>0</v>
      </c>
      <c r="F8" s="7">
        <v>0</v>
      </c>
      <c r="G8" s="1"/>
      <c r="H8" s="1"/>
      <c r="J8" s="9" t="s">
        <v>11</v>
      </c>
      <c r="K8" s="10">
        <f>IRR(C6:C10)</f>
        <v>0.21999984681106532</v>
      </c>
      <c r="L8" s="10">
        <f t="shared" ref="L8:N8" si="2">IRR(D6:D10)</f>
        <v>0.20999669150985212</v>
      </c>
      <c r="M8" s="10">
        <f t="shared" si="2"/>
        <v>0.20999969753593906</v>
      </c>
      <c r="N8" s="24">
        <f t="shared" si="2"/>
        <v>0.22144885502213496</v>
      </c>
    </row>
    <row r="9" spans="2:39" ht="16" thickBot="1" x14ac:dyDescent="0.4">
      <c r="B9" s="6">
        <v>3</v>
      </c>
      <c r="C9" s="7">
        <v>40102</v>
      </c>
      <c r="D9" s="7">
        <v>78726</v>
      </c>
      <c r="E9" s="7">
        <v>0</v>
      </c>
      <c r="F9" s="7">
        <v>0</v>
      </c>
      <c r="G9" s="1"/>
      <c r="H9" s="1"/>
      <c r="J9" s="9" t="s">
        <v>13</v>
      </c>
      <c r="K9" s="10">
        <f>MIRR(C6:C10,$K$2,$K$2)</f>
        <v>0.21128024685582569</v>
      </c>
      <c r="L9" s="10">
        <f t="shared" ref="L9:N9" si="3">MIRR(D6:D10,$K$2,$K$2)</f>
        <v>0.2056608931242887</v>
      </c>
      <c r="M9" s="10">
        <f t="shared" si="3"/>
        <v>0.20999969753593906</v>
      </c>
      <c r="N9" s="10">
        <f t="shared" si="3"/>
        <v>0.20508098999524504</v>
      </c>
    </row>
    <row r="10" spans="2:39" ht="16" thickBot="1" x14ac:dyDescent="0.4">
      <c r="B10" s="6">
        <v>4</v>
      </c>
      <c r="C10" s="7">
        <v>40102</v>
      </c>
      <c r="D10" s="7">
        <v>78726</v>
      </c>
      <c r="E10" s="7">
        <v>643076</v>
      </c>
      <c r="F10" s="7">
        <v>-10000</v>
      </c>
      <c r="G10" s="1"/>
      <c r="H10" s="1"/>
      <c r="J10" s="9" t="s">
        <v>14</v>
      </c>
      <c r="K10" s="23">
        <f>NPV($K$2,C7:C10)/-C6</f>
        <v>1.0381343364197533</v>
      </c>
      <c r="L10" s="23">
        <f t="shared" ref="L10:M10" si="4">NPV($K$2,D7:D10)/-D6</f>
        <v>1.0190035879629631</v>
      </c>
      <c r="M10" s="23">
        <f t="shared" si="4"/>
        <v>1.0337512860082305</v>
      </c>
      <c r="N10" s="23">
        <f>NPV($K$2,F7:F9)/-(NPV(K2,0,0,0,F10)+F6)</f>
        <v>1.01704450586105</v>
      </c>
    </row>
    <row r="13" spans="2:39" ht="15" thickBot="1" x14ac:dyDescent="0.4">
      <c r="B13" s="3" t="s">
        <v>16</v>
      </c>
    </row>
    <row r="14" spans="2:39" ht="16.5" customHeight="1" thickBot="1" x14ac:dyDescent="0.4">
      <c r="B14" s="8" t="s">
        <v>3</v>
      </c>
      <c r="C14" s="8" t="s">
        <v>27</v>
      </c>
      <c r="D14" s="8" t="s">
        <v>28</v>
      </c>
      <c r="E14" s="8" t="s">
        <v>29</v>
      </c>
      <c r="F14" s="8" t="s">
        <v>30</v>
      </c>
      <c r="G14" s="8" t="s">
        <v>31</v>
      </c>
      <c r="H14" s="8" t="s">
        <v>17</v>
      </c>
      <c r="J14" s="8" t="s">
        <v>6</v>
      </c>
      <c r="K14" s="8" t="s">
        <v>27</v>
      </c>
      <c r="L14" s="8" t="s">
        <v>28</v>
      </c>
      <c r="M14" s="8" t="s">
        <v>29</v>
      </c>
      <c r="N14" s="8" t="s">
        <v>30</v>
      </c>
      <c r="O14" s="8" t="s">
        <v>31</v>
      </c>
      <c r="P14" s="8" t="s">
        <v>17</v>
      </c>
    </row>
    <row r="15" spans="2:39" ht="16" thickBot="1" x14ac:dyDescent="0.4">
      <c r="B15" s="6">
        <v>0</v>
      </c>
      <c r="C15" s="7">
        <f>F6-E6</f>
        <v>-100000</v>
      </c>
      <c r="D15" s="7">
        <f>E6-D6</f>
        <v>-100000</v>
      </c>
      <c r="E15" s="7">
        <f>E6-C6</f>
        <v>-200000</v>
      </c>
      <c r="F15" s="7">
        <f>F6-C6</f>
        <v>-300000</v>
      </c>
      <c r="G15" s="7">
        <f>F6-D6</f>
        <v>-200000</v>
      </c>
      <c r="H15" s="7">
        <f>D6-C6</f>
        <v>-100000</v>
      </c>
      <c r="J15" s="9" t="s">
        <v>8</v>
      </c>
      <c r="K15" s="7">
        <f>NPV($K$2,C16:C19)+C15</f>
        <v>-3225.3858024691872</v>
      </c>
      <c r="L15" s="7">
        <f t="shared" ref="L15:P15" si="5">NPV($K$2,D16:D19)+D15</f>
        <v>6324.6682098765305</v>
      </c>
      <c r="M15" s="7">
        <f t="shared" si="5"/>
        <v>6311.95216049382</v>
      </c>
      <c r="N15" s="7">
        <f t="shared" si="5"/>
        <v>3086.5663580246619</v>
      </c>
      <c r="O15" s="7">
        <f t="shared" si="5"/>
        <v>3099.2824074073578</v>
      </c>
      <c r="P15" s="7">
        <f t="shared" si="5"/>
        <v>-12.71604938271048</v>
      </c>
    </row>
    <row r="16" spans="2:39" ht="16" thickBot="1" x14ac:dyDescent="0.4">
      <c r="B16" s="6">
        <v>1</v>
      </c>
      <c r="C16" s="7">
        <f t="shared" ref="C16:C19" si="6">F7-E7</f>
        <v>494067.03703703696</v>
      </c>
      <c r="D16" s="7">
        <f t="shared" ref="D16:D19" si="7">E7-D7</f>
        <v>-78726</v>
      </c>
      <c r="E16" s="7">
        <f t="shared" ref="E16:E19" si="8">E7-C7</f>
        <v>-40102</v>
      </c>
      <c r="F16" s="7">
        <f t="shared" ref="F16:F19" si="9">F7-C7</f>
        <v>453965.03703703696</v>
      </c>
      <c r="G16" s="7">
        <f t="shared" ref="G16:G19" si="10">F7-D7</f>
        <v>415341.03703703696</v>
      </c>
      <c r="H16" s="7">
        <f t="shared" ref="H16:H19" si="11">D7-C7</f>
        <v>38624</v>
      </c>
      <c r="J16" s="9" t="s">
        <v>10</v>
      </c>
      <c r="K16" s="7">
        <f>-PMT($K$2,4,K15)</f>
        <v>-1245.931445603597</v>
      </c>
      <c r="L16" s="7">
        <f t="shared" ref="L16:P16" si="12">-PMT($K$2,4,L15)</f>
        <v>2443.1505216095334</v>
      </c>
      <c r="M16" s="7">
        <f t="shared" si="12"/>
        <v>2438.2384500745134</v>
      </c>
      <c r="N16" s="7">
        <f t="shared" si="12"/>
        <v>1192.3070044709277</v>
      </c>
      <c r="O16" s="7">
        <f t="shared" si="12"/>
        <v>1197.2190760059423</v>
      </c>
      <c r="P16" s="7">
        <f t="shared" si="12"/>
        <v>-4.9120715350202042</v>
      </c>
    </row>
    <row r="17" spans="2:16" ht="16" thickBot="1" x14ac:dyDescent="0.4">
      <c r="B17" s="6">
        <v>2</v>
      </c>
      <c r="C17" s="7">
        <f t="shared" si="6"/>
        <v>0</v>
      </c>
      <c r="D17" s="7">
        <f t="shared" si="7"/>
        <v>-78726</v>
      </c>
      <c r="E17" s="7">
        <f t="shared" si="8"/>
        <v>-40102</v>
      </c>
      <c r="F17" s="7">
        <f t="shared" si="9"/>
        <v>-40102</v>
      </c>
      <c r="G17" s="7">
        <f t="shared" si="10"/>
        <v>-78726</v>
      </c>
      <c r="H17" s="7">
        <f t="shared" si="11"/>
        <v>38624</v>
      </c>
      <c r="J17" s="9" t="s">
        <v>11</v>
      </c>
      <c r="K17" s="24">
        <f t="shared" ref="K17:P17" si="13">IRR(C15:C19)</f>
        <v>0.20462082158820039</v>
      </c>
      <c r="L17" s="10">
        <f t="shared" si="13"/>
        <v>0.21000151936140887</v>
      </c>
      <c r="M17" s="10">
        <f t="shared" ref="M17" si="14">IRR(E15:E19)</f>
        <v>0.20766881493998435</v>
      </c>
      <c r="N17" s="24">
        <f t="shared" si="13"/>
        <v>0.22346349524049725</v>
      </c>
      <c r="O17" s="24">
        <f t="shared" si="13"/>
        <v>0.15883472689363054</v>
      </c>
      <c r="P17" s="10">
        <f t="shared" si="13"/>
        <v>0.19993290186930057</v>
      </c>
    </row>
    <row r="18" spans="2:16" ht="16" thickBot="1" x14ac:dyDescent="0.4">
      <c r="B18" s="6">
        <v>3</v>
      </c>
      <c r="C18" s="7">
        <f t="shared" si="6"/>
        <v>0</v>
      </c>
      <c r="D18" s="7">
        <f t="shared" si="7"/>
        <v>-78726</v>
      </c>
      <c r="E18" s="7">
        <f t="shared" si="8"/>
        <v>-40102</v>
      </c>
      <c r="F18" s="7">
        <f t="shared" si="9"/>
        <v>-40102</v>
      </c>
      <c r="G18" s="7">
        <f t="shared" si="10"/>
        <v>-78726</v>
      </c>
      <c r="H18" s="7">
        <f t="shared" si="11"/>
        <v>38624</v>
      </c>
      <c r="J18" s="9" t="s">
        <v>13</v>
      </c>
      <c r="K18" s="10">
        <f>MIRR(C15:C19,$K$2,$K$2)</f>
        <v>0.19766127498331221</v>
      </c>
      <c r="L18" s="10">
        <f t="shared" ref="L18:P18" si="15">MIRR(D15:D19,$K$2,$K$2)</f>
        <v>0.20707470500200986</v>
      </c>
      <c r="M18" s="10">
        <f t="shared" si="15"/>
        <v>0.20660176339661551</v>
      </c>
      <c r="N18" s="10">
        <f t="shared" si="15"/>
        <v>0.2024602445365673</v>
      </c>
      <c r="O18" s="10">
        <f t="shared" si="15"/>
        <v>0.20270146234758246</v>
      </c>
      <c r="P18" s="10">
        <f t="shared" si="15"/>
        <v>0.19996185003261546</v>
      </c>
    </row>
    <row r="19" spans="2:16" ht="16" thickBot="1" x14ac:dyDescent="0.4">
      <c r="B19" s="6">
        <v>4</v>
      </c>
      <c r="C19" s="7">
        <f t="shared" si="6"/>
        <v>-653076</v>
      </c>
      <c r="D19" s="7">
        <f t="shared" si="7"/>
        <v>564350</v>
      </c>
      <c r="E19" s="7">
        <f t="shared" si="8"/>
        <v>602974</v>
      </c>
      <c r="F19" s="7">
        <f t="shared" si="9"/>
        <v>-50102</v>
      </c>
      <c r="G19" s="7">
        <f t="shared" si="10"/>
        <v>-88726</v>
      </c>
      <c r="H19" s="7">
        <f t="shared" si="11"/>
        <v>38624</v>
      </c>
      <c r="J19" s="9" t="s">
        <v>14</v>
      </c>
      <c r="K19" s="23">
        <f>NPV($K$2,C16:C18)/-(NPV($K$2,0,0,0,C19)+C15)</f>
        <v>0.99222701049235484</v>
      </c>
      <c r="L19" s="23">
        <f>NPV($K$2,0,0,0,D19)/-(NPV($K$2,D16:D18)+D15)</f>
        <v>1.0237917186009438</v>
      </c>
      <c r="M19" s="23">
        <f>NPV($K$2,0,0,0,E19)/-(NPV($K$2,E16:E18)+E15)</f>
        <v>1.0221881419380996</v>
      </c>
      <c r="N19" s="23">
        <f>NPV($K$2,F16)/-(NPV($K$2,0,F17:F19)+F15)</f>
        <v>1.0082260696235854</v>
      </c>
      <c r="O19" s="23">
        <f>NPV($K$2,G16)/-(NPV($K$2,0,G17:G19)+G15)</f>
        <v>1.0090353280659288</v>
      </c>
      <c r="P19" s="14">
        <f>NPV($K$2,H16:H19)/-H15</f>
        <v>0.99987283950617289</v>
      </c>
    </row>
    <row r="21" spans="2:16" x14ac:dyDescent="0.35">
      <c r="K21" s="35"/>
      <c r="L21" s="35"/>
      <c r="M21" s="35"/>
      <c r="N21" s="35"/>
      <c r="O21" s="35"/>
      <c r="P21" s="35"/>
    </row>
  </sheetData>
  <mergeCells count="2">
    <mergeCell ref="O6:P7"/>
    <mergeCell ref="K21:P2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5AA1B-2757-4D2B-AB7B-248A29DEC7BD}">
  <dimension ref="B1:AC8"/>
  <sheetViews>
    <sheetView showGridLines="0" zoomScale="180" zoomScaleNormal="180" workbookViewId="0">
      <selection activeCell="E16" sqref="E16"/>
    </sheetView>
  </sheetViews>
  <sheetFormatPr baseColWidth="10" defaultColWidth="11.453125" defaultRowHeight="14.5" x14ac:dyDescent="0.35"/>
  <cols>
    <col min="2" max="2" width="16.7265625" customWidth="1"/>
    <col min="3" max="7" width="13.1796875" customWidth="1"/>
  </cols>
  <sheetData>
    <row r="1" spans="2:29" x14ac:dyDescent="0.35">
      <c r="AC1" t="s">
        <v>0</v>
      </c>
    </row>
    <row r="2" spans="2:29" ht="20.25" customHeight="1" x14ac:dyDescent="0.35">
      <c r="B2" s="3" t="s">
        <v>32</v>
      </c>
    </row>
    <row r="3" spans="2:29" ht="15" thickBot="1" x14ac:dyDescent="0.4">
      <c r="I3" s="25"/>
    </row>
    <row r="4" spans="2:29" ht="14.15" customHeight="1" thickBot="1" x14ac:dyDescent="0.4">
      <c r="B4" s="8" t="s">
        <v>3</v>
      </c>
      <c r="C4" s="8" t="s">
        <v>33</v>
      </c>
      <c r="D4" s="8" t="s">
        <v>34</v>
      </c>
      <c r="E4" s="8" t="s">
        <v>35</v>
      </c>
      <c r="F4" s="8" t="s">
        <v>36</v>
      </c>
      <c r="G4" s="8" t="s">
        <v>37</v>
      </c>
      <c r="I4" s="25"/>
    </row>
    <row r="5" spans="2:29" ht="16" thickBot="1" x14ac:dyDescent="0.4">
      <c r="B5" s="13" t="s">
        <v>38</v>
      </c>
      <c r="C5" s="14">
        <v>1.2289000000000001</v>
      </c>
      <c r="D5" s="14">
        <v>1.2175</v>
      </c>
      <c r="E5" s="14">
        <v>1.2425999999999999</v>
      </c>
      <c r="F5" s="14">
        <v>1.2259</v>
      </c>
      <c r="G5" s="14">
        <v>1.1731</v>
      </c>
      <c r="I5" s="26"/>
    </row>
    <row r="6" spans="2:29" ht="16" thickBot="1" x14ac:dyDescent="0.4">
      <c r="B6" s="13" t="s">
        <v>39</v>
      </c>
      <c r="C6" s="7">
        <v>50000000</v>
      </c>
      <c r="D6" s="7">
        <v>70000000</v>
      </c>
      <c r="E6" s="7">
        <v>45000000</v>
      </c>
      <c r="F6" s="7">
        <v>65000000</v>
      </c>
      <c r="G6" s="7">
        <v>55000000</v>
      </c>
    </row>
    <row r="7" spans="2:29" ht="15" thickBot="1" x14ac:dyDescent="0.4"/>
    <row r="8" spans="2:29" ht="16" thickBot="1" x14ac:dyDescent="0.4">
      <c r="B8" s="13" t="s">
        <v>8</v>
      </c>
      <c r="C8" s="7">
        <f>C6*C5-C6</f>
        <v>11445000.000000007</v>
      </c>
      <c r="D8" s="19">
        <f>D6*D5-D6</f>
        <v>15225000</v>
      </c>
      <c r="E8" s="7">
        <f t="shared" ref="E8:G8" si="0">E6*E5-E6</f>
        <v>10917000</v>
      </c>
      <c r="F8" s="7">
        <f t="shared" si="0"/>
        <v>14683500</v>
      </c>
      <c r="G8" s="7">
        <f t="shared" si="0"/>
        <v>9520500</v>
      </c>
    </row>
  </sheetData>
  <phoneticPr fontId="7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560F1-ECEC-4D82-B1FC-5783895FA1F0}">
  <dimension ref="B1:AC33"/>
  <sheetViews>
    <sheetView showGridLines="0" tabSelected="1" zoomScale="130" zoomScaleNormal="130" workbookViewId="0">
      <selection activeCell="E4" sqref="E4:F4"/>
    </sheetView>
  </sheetViews>
  <sheetFormatPr baseColWidth="10" defaultColWidth="11.453125" defaultRowHeight="14.5" x14ac:dyDescent="0.35"/>
  <cols>
    <col min="2" max="2" width="11.7265625" customWidth="1"/>
    <col min="3" max="3" width="13.1796875" customWidth="1"/>
    <col min="4" max="4" width="11.1796875" customWidth="1"/>
    <col min="5" max="5" width="11.453125" customWidth="1"/>
    <col min="6" max="6" width="14.453125" customWidth="1"/>
    <col min="7" max="7" width="12.26953125" customWidth="1"/>
    <col min="11" max="11" width="16.26953125" bestFit="1" customWidth="1"/>
  </cols>
  <sheetData>
    <row r="1" spans="2:29" ht="15" thickBot="1" x14ac:dyDescent="0.4">
      <c r="AC1" t="s">
        <v>0</v>
      </c>
    </row>
    <row r="2" spans="2:29" ht="20.25" customHeight="1" thickBot="1" x14ac:dyDescent="0.4">
      <c r="B2" s="3" t="s">
        <v>40</v>
      </c>
      <c r="K2" s="4" t="s">
        <v>2</v>
      </c>
      <c r="L2" s="5">
        <v>0.13</v>
      </c>
      <c r="M2" s="29" t="s">
        <v>41</v>
      </c>
    </row>
    <row r="3" spans="2:29" ht="21" customHeight="1" thickBot="1" x14ac:dyDescent="0.4">
      <c r="I3" s="25"/>
      <c r="K3" s="4" t="s">
        <v>2</v>
      </c>
      <c r="L3" s="5">
        <f>((1+L2)^(1/12))-1</f>
        <v>1.02368443581764E-2</v>
      </c>
      <c r="M3" s="29" t="s">
        <v>42</v>
      </c>
    </row>
    <row r="4" spans="2:29" ht="14.15" customHeight="1" thickBot="1" x14ac:dyDescent="0.4">
      <c r="B4" s="36" t="s">
        <v>43</v>
      </c>
      <c r="C4" s="36"/>
      <c r="E4" s="36" t="s">
        <v>44</v>
      </c>
      <c r="F4" s="36"/>
      <c r="H4" s="36" t="s">
        <v>17</v>
      </c>
      <c r="I4" s="36"/>
    </row>
    <row r="5" spans="2:29" ht="15" thickBot="1" x14ac:dyDescent="0.4">
      <c r="B5" s="30" t="s">
        <v>45</v>
      </c>
      <c r="C5" s="30" t="s">
        <v>46</v>
      </c>
      <c r="E5" s="30" t="s">
        <v>45</v>
      </c>
      <c r="F5" s="30" t="s">
        <v>46</v>
      </c>
      <c r="H5" s="30" t="s">
        <v>45</v>
      </c>
      <c r="I5" s="30" t="s">
        <v>46</v>
      </c>
      <c r="K5" s="4" t="s">
        <v>47</v>
      </c>
      <c r="L5" s="5">
        <f>IRR(I6:I30)</f>
        <v>4.1176188552977777E-2</v>
      </c>
      <c r="M5" s="29" t="s">
        <v>42</v>
      </c>
    </row>
    <row r="6" spans="2:29" ht="15" thickBot="1" x14ac:dyDescent="0.4">
      <c r="B6" s="12">
        <v>0</v>
      </c>
      <c r="C6" s="31">
        <v>-1750905</v>
      </c>
      <c r="E6" s="32">
        <v>0</v>
      </c>
      <c r="F6" s="33">
        <v>-2700000</v>
      </c>
      <c r="H6" s="32">
        <v>0</v>
      </c>
      <c r="I6" s="33">
        <f>F6-C6</f>
        <v>-949095</v>
      </c>
      <c r="L6" s="27" t="s">
        <v>48</v>
      </c>
    </row>
    <row r="7" spans="2:29" ht="15" thickBot="1" x14ac:dyDescent="0.4">
      <c r="B7" s="12">
        <v>1</v>
      </c>
      <c r="C7" s="31">
        <f>-2520000/12</f>
        <v>-210000</v>
      </c>
      <c r="E7" s="32">
        <v>1</v>
      </c>
      <c r="F7" s="33">
        <f>C7*70%</f>
        <v>-147000</v>
      </c>
      <c r="H7" s="32">
        <v>1</v>
      </c>
      <c r="I7" s="33">
        <f t="shared" ref="I7:I30" si="0">F7-C7</f>
        <v>63000</v>
      </c>
    </row>
    <row r="8" spans="2:29" ht="15" thickBot="1" x14ac:dyDescent="0.4">
      <c r="B8" s="12">
        <v>2</v>
      </c>
      <c r="C8" s="31">
        <f>-2520000/12</f>
        <v>-210000</v>
      </c>
      <c r="E8" s="32">
        <v>2</v>
      </c>
      <c r="F8" s="33">
        <f>C8*70%</f>
        <v>-147000</v>
      </c>
      <c r="H8" s="32">
        <v>2</v>
      </c>
      <c r="I8" s="33">
        <f t="shared" si="0"/>
        <v>63000</v>
      </c>
    </row>
    <row r="9" spans="2:29" ht="15" thickBot="1" x14ac:dyDescent="0.4">
      <c r="B9" s="12">
        <v>3</v>
      </c>
      <c r="C9" s="31">
        <f t="shared" ref="C9:C30" si="1">-2520000/12</f>
        <v>-210000</v>
      </c>
      <c r="E9" s="32">
        <v>3</v>
      </c>
      <c r="F9" s="33">
        <f t="shared" ref="F9:F30" si="2">C9*70%</f>
        <v>-147000</v>
      </c>
      <c r="H9" s="32">
        <v>3</v>
      </c>
      <c r="I9" s="33">
        <f t="shared" si="0"/>
        <v>63000</v>
      </c>
    </row>
    <row r="10" spans="2:29" ht="15" thickBot="1" x14ac:dyDescent="0.4">
      <c r="B10" s="12">
        <v>4</v>
      </c>
      <c r="C10" s="31">
        <f t="shared" si="1"/>
        <v>-210000</v>
      </c>
      <c r="E10" s="32">
        <v>4</v>
      </c>
      <c r="F10" s="33">
        <f t="shared" si="2"/>
        <v>-147000</v>
      </c>
      <c r="H10" s="32">
        <v>4</v>
      </c>
      <c r="I10" s="33">
        <f t="shared" si="0"/>
        <v>63000</v>
      </c>
    </row>
    <row r="11" spans="2:29" ht="15" thickBot="1" x14ac:dyDescent="0.4">
      <c r="B11" s="12">
        <v>5</v>
      </c>
      <c r="C11" s="31">
        <f t="shared" si="1"/>
        <v>-210000</v>
      </c>
      <c r="E11" s="32">
        <v>5</v>
      </c>
      <c r="F11" s="33">
        <f t="shared" si="2"/>
        <v>-147000</v>
      </c>
      <c r="H11" s="32">
        <v>5</v>
      </c>
      <c r="I11" s="33">
        <f t="shared" si="0"/>
        <v>63000</v>
      </c>
    </row>
    <row r="12" spans="2:29" ht="15" thickBot="1" x14ac:dyDescent="0.4">
      <c r="B12" s="12">
        <v>6</v>
      </c>
      <c r="C12" s="31">
        <f t="shared" si="1"/>
        <v>-210000</v>
      </c>
      <c r="E12" s="32">
        <v>6</v>
      </c>
      <c r="F12" s="33">
        <f t="shared" si="2"/>
        <v>-147000</v>
      </c>
      <c r="H12" s="32">
        <v>6</v>
      </c>
      <c r="I12" s="33">
        <f t="shared" si="0"/>
        <v>63000</v>
      </c>
    </row>
    <row r="13" spans="2:29" ht="15" thickBot="1" x14ac:dyDescent="0.4">
      <c r="B13" s="12">
        <v>7</v>
      </c>
      <c r="C13" s="31">
        <f t="shared" si="1"/>
        <v>-210000</v>
      </c>
      <c r="E13" s="32">
        <v>7</v>
      </c>
      <c r="F13" s="33">
        <f t="shared" si="2"/>
        <v>-147000</v>
      </c>
      <c r="H13" s="32">
        <v>7</v>
      </c>
      <c r="I13" s="33">
        <f t="shared" si="0"/>
        <v>63000</v>
      </c>
    </row>
    <row r="14" spans="2:29" ht="15" thickBot="1" x14ac:dyDescent="0.4">
      <c r="B14" s="12">
        <v>8</v>
      </c>
      <c r="C14" s="31">
        <f t="shared" si="1"/>
        <v>-210000</v>
      </c>
      <c r="E14" s="32">
        <v>8</v>
      </c>
      <c r="F14" s="33">
        <f t="shared" si="2"/>
        <v>-147000</v>
      </c>
      <c r="H14" s="32">
        <v>8</v>
      </c>
      <c r="I14" s="33">
        <f t="shared" si="0"/>
        <v>63000</v>
      </c>
    </row>
    <row r="15" spans="2:29" ht="15" thickBot="1" x14ac:dyDescent="0.4">
      <c r="B15" s="12">
        <v>9</v>
      </c>
      <c r="C15" s="31">
        <f t="shared" si="1"/>
        <v>-210000</v>
      </c>
      <c r="E15" s="32">
        <v>9</v>
      </c>
      <c r="F15" s="33">
        <f t="shared" si="2"/>
        <v>-147000</v>
      </c>
      <c r="H15" s="32">
        <v>9</v>
      </c>
      <c r="I15" s="33">
        <f t="shared" si="0"/>
        <v>63000</v>
      </c>
    </row>
    <row r="16" spans="2:29" ht="15" thickBot="1" x14ac:dyDescent="0.4">
      <c r="B16" s="12">
        <v>10</v>
      </c>
      <c r="C16" s="31">
        <f t="shared" si="1"/>
        <v>-210000</v>
      </c>
      <c r="E16" s="32">
        <v>10</v>
      </c>
      <c r="F16" s="33">
        <f t="shared" si="2"/>
        <v>-147000</v>
      </c>
      <c r="H16" s="32">
        <v>10</v>
      </c>
      <c r="I16" s="33">
        <f t="shared" si="0"/>
        <v>63000</v>
      </c>
    </row>
    <row r="17" spans="2:9" ht="15" thickBot="1" x14ac:dyDescent="0.4">
      <c r="B17" s="12">
        <v>11</v>
      </c>
      <c r="C17" s="31">
        <f t="shared" si="1"/>
        <v>-210000</v>
      </c>
      <c r="E17" s="32">
        <v>11</v>
      </c>
      <c r="F17" s="33">
        <f t="shared" si="2"/>
        <v>-147000</v>
      </c>
      <c r="H17" s="32">
        <v>11</v>
      </c>
      <c r="I17" s="33">
        <f t="shared" si="0"/>
        <v>63000</v>
      </c>
    </row>
    <row r="18" spans="2:9" ht="15" thickBot="1" x14ac:dyDescent="0.4">
      <c r="B18" s="12">
        <v>12</v>
      </c>
      <c r="C18" s="31">
        <f t="shared" si="1"/>
        <v>-210000</v>
      </c>
      <c r="E18" s="32">
        <v>12</v>
      </c>
      <c r="F18" s="33">
        <f t="shared" si="2"/>
        <v>-147000</v>
      </c>
      <c r="H18" s="32">
        <v>12</v>
      </c>
      <c r="I18" s="33">
        <f t="shared" si="0"/>
        <v>63000</v>
      </c>
    </row>
    <row r="19" spans="2:9" ht="15" thickBot="1" x14ac:dyDescent="0.4">
      <c r="B19" s="12">
        <v>13</v>
      </c>
      <c r="C19" s="31">
        <f t="shared" si="1"/>
        <v>-210000</v>
      </c>
      <c r="E19" s="32">
        <v>13</v>
      </c>
      <c r="F19" s="33">
        <f t="shared" si="2"/>
        <v>-147000</v>
      </c>
      <c r="H19" s="32">
        <v>13</v>
      </c>
      <c r="I19" s="33">
        <f t="shared" si="0"/>
        <v>63000</v>
      </c>
    </row>
    <row r="20" spans="2:9" ht="15" thickBot="1" x14ac:dyDescent="0.4">
      <c r="B20" s="12">
        <v>14</v>
      </c>
      <c r="C20" s="31">
        <f t="shared" si="1"/>
        <v>-210000</v>
      </c>
      <c r="E20" s="32">
        <v>14</v>
      </c>
      <c r="F20" s="33">
        <f t="shared" si="2"/>
        <v>-147000</v>
      </c>
      <c r="H20" s="32">
        <v>14</v>
      </c>
      <c r="I20" s="33">
        <f t="shared" si="0"/>
        <v>63000</v>
      </c>
    </row>
    <row r="21" spans="2:9" ht="15" thickBot="1" x14ac:dyDescent="0.4">
      <c r="B21" s="12">
        <v>15</v>
      </c>
      <c r="C21" s="31">
        <f t="shared" si="1"/>
        <v>-210000</v>
      </c>
      <c r="E21" s="32">
        <v>15</v>
      </c>
      <c r="F21" s="33">
        <f t="shared" si="2"/>
        <v>-147000</v>
      </c>
      <c r="H21" s="32">
        <v>15</v>
      </c>
      <c r="I21" s="33">
        <f t="shared" si="0"/>
        <v>63000</v>
      </c>
    </row>
    <row r="22" spans="2:9" ht="15" thickBot="1" x14ac:dyDescent="0.4">
      <c r="B22" s="12">
        <v>16</v>
      </c>
      <c r="C22" s="31">
        <f t="shared" si="1"/>
        <v>-210000</v>
      </c>
      <c r="E22" s="32">
        <v>16</v>
      </c>
      <c r="F22" s="33">
        <f t="shared" si="2"/>
        <v>-147000</v>
      </c>
      <c r="H22" s="32">
        <v>16</v>
      </c>
      <c r="I22" s="33">
        <f t="shared" si="0"/>
        <v>63000</v>
      </c>
    </row>
    <row r="23" spans="2:9" ht="15" thickBot="1" x14ac:dyDescent="0.4">
      <c r="B23" s="12">
        <v>17</v>
      </c>
      <c r="C23" s="31">
        <f t="shared" si="1"/>
        <v>-210000</v>
      </c>
      <c r="E23" s="32">
        <v>17</v>
      </c>
      <c r="F23" s="33">
        <f t="shared" si="2"/>
        <v>-147000</v>
      </c>
      <c r="H23" s="32">
        <v>17</v>
      </c>
      <c r="I23" s="33">
        <f t="shared" si="0"/>
        <v>63000</v>
      </c>
    </row>
    <row r="24" spans="2:9" ht="15" thickBot="1" x14ac:dyDescent="0.4">
      <c r="B24" s="12">
        <v>18</v>
      </c>
      <c r="C24" s="31">
        <f t="shared" si="1"/>
        <v>-210000</v>
      </c>
      <c r="E24" s="32">
        <v>18</v>
      </c>
      <c r="F24" s="33">
        <f t="shared" si="2"/>
        <v>-147000</v>
      </c>
      <c r="H24" s="32">
        <v>18</v>
      </c>
      <c r="I24" s="33">
        <f t="shared" si="0"/>
        <v>63000</v>
      </c>
    </row>
    <row r="25" spans="2:9" ht="15" thickBot="1" x14ac:dyDescent="0.4">
      <c r="B25" s="12">
        <v>19</v>
      </c>
      <c r="C25" s="31">
        <f t="shared" si="1"/>
        <v>-210000</v>
      </c>
      <c r="E25" s="32">
        <v>19</v>
      </c>
      <c r="F25" s="33">
        <f t="shared" si="2"/>
        <v>-147000</v>
      </c>
      <c r="H25" s="32">
        <v>19</v>
      </c>
      <c r="I25" s="33">
        <f t="shared" si="0"/>
        <v>63000</v>
      </c>
    </row>
    <row r="26" spans="2:9" ht="15" thickBot="1" x14ac:dyDescent="0.4">
      <c r="B26" s="12">
        <v>20</v>
      </c>
      <c r="C26" s="31">
        <f t="shared" si="1"/>
        <v>-210000</v>
      </c>
      <c r="E26" s="32">
        <v>20</v>
      </c>
      <c r="F26" s="33">
        <f t="shared" si="2"/>
        <v>-147000</v>
      </c>
      <c r="H26" s="32">
        <v>20</v>
      </c>
      <c r="I26" s="33">
        <f t="shared" si="0"/>
        <v>63000</v>
      </c>
    </row>
    <row r="27" spans="2:9" ht="15" thickBot="1" x14ac:dyDescent="0.4">
      <c r="B27" s="12">
        <v>21</v>
      </c>
      <c r="C27" s="31">
        <f t="shared" si="1"/>
        <v>-210000</v>
      </c>
      <c r="E27" s="32">
        <v>21</v>
      </c>
      <c r="F27" s="33">
        <f t="shared" si="2"/>
        <v>-147000</v>
      </c>
      <c r="H27" s="32">
        <v>21</v>
      </c>
      <c r="I27" s="33">
        <f t="shared" si="0"/>
        <v>63000</v>
      </c>
    </row>
    <row r="28" spans="2:9" ht="15" thickBot="1" x14ac:dyDescent="0.4">
      <c r="B28" s="12">
        <v>22</v>
      </c>
      <c r="C28" s="31">
        <f t="shared" si="1"/>
        <v>-210000</v>
      </c>
      <c r="E28" s="32">
        <v>22</v>
      </c>
      <c r="F28" s="33">
        <f t="shared" si="2"/>
        <v>-147000</v>
      </c>
      <c r="H28" s="32">
        <v>22</v>
      </c>
      <c r="I28" s="33">
        <f t="shared" si="0"/>
        <v>63000</v>
      </c>
    </row>
    <row r="29" spans="2:9" ht="15" thickBot="1" x14ac:dyDescent="0.4">
      <c r="B29" s="12">
        <v>23</v>
      </c>
      <c r="C29" s="31">
        <f t="shared" si="1"/>
        <v>-210000</v>
      </c>
      <c r="E29" s="32">
        <v>23</v>
      </c>
      <c r="F29" s="33">
        <f t="shared" si="2"/>
        <v>-147000</v>
      </c>
      <c r="H29" s="32">
        <v>23</v>
      </c>
      <c r="I29" s="33">
        <f t="shared" si="0"/>
        <v>63000</v>
      </c>
    </row>
    <row r="30" spans="2:9" ht="15" thickBot="1" x14ac:dyDescent="0.4">
      <c r="B30" s="12">
        <v>24</v>
      </c>
      <c r="C30" s="31">
        <f t="shared" si="1"/>
        <v>-210000</v>
      </c>
      <c r="E30" s="32">
        <v>24</v>
      </c>
      <c r="F30" s="33">
        <f t="shared" si="2"/>
        <v>-147000</v>
      </c>
      <c r="H30" s="32">
        <v>24</v>
      </c>
      <c r="I30" s="33">
        <f t="shared" si="0"/>
        <v>63000</v>
      </c>
    </row>
    <row r="33" spans="9:9" x14ac:dyDescent="0.35">
      <c r="I33" s="28"/>
    </row>
  </sheetData>
  <mergeCells count="3">
    <mergeCell ref="B4:C4"/>
    <mergeCell ref="E4:F4"/>
    <mergeCell ref="H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Caso 2 - Ej. 1</vt:lpstr>
      <vt:lpstr>Caso 2 - Ej. 2</vt:lpstr>
      <vt:lpstr>Caso 2 - Ej. 3</vt:lpstr>
      <vt:lpstr>Ejercicio Práctica 1</vt:lpstr>
      <vt:lpstr>Ejercicio Práctica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Brigitte Castañeda Rodriguez</cp:lastModifiedBy>
  <cp:revision/>
  <dcterms:created xsi:type="dcterms:W3CDTF">2021-09-07T14:51:11Z</dcterms:created>
  <dcterms:modified xsi:type="dcterms:W3CDTF">2026-03-26T14:27:23Z</dcterms:modified>
  <cp:category/>
  <cp:contentStatus/>
</cp:coreProperties>
</file>